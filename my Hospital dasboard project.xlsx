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784d46d0ee3eab2d/Documents/"/>
    </mc:Choice>
  </mc:AlternateContent>
  <xr:revisionPtr revIDLastSave="0" documentId="8_{CC94B544-07A1-4D33-8DEF-87A143459E1A}" xr6:coauthVersionLast="47" xr6:coauthVersionMax="47" xr10:uidLastSave="{00000000-0000-0000-0000-000000000000}"/>
  <bookViews>
    <workbookView xWindow="-108" yWindow="-108" windowWidth="23256" windowHeight="12456" activeTab="1" xr2:uid="{3F5C9F41-C700-4DB5-99D7-12820401AF93}"/>
  </bookViews>
  <sheets>
    <sheet name="Pivot Report" sheetId="1" r:id="rId1"/>
    <sheet name="Dashboard" sheetId="3" r:id="rId2"/>
    <sheet name="Satisfaction score daily Trend" sheetId="14" r:id="rId3"/>
    <sheet name="Average wait time daily trend" sheetId="13" r:id="rId4"/>
    <sheet name="Daily ER No of Patient" sheetId="10" r:id="rId5"/>
    <sheet name="Sheet15" sheetId="16" r:id="rId6"/>
  </sheets>
  <definedNames>
    <definedName name="Slicer_Date__Month">#N/A</definedName>
    <definedName name="Slicer_Date__Year">#N/A</definedName>
  </definedNames>
  <calcPr calcId="191029"/>
  <pivotCaches>
    <pivotCache cacheId="1270" r:id="rId7"/>
    <pivotCache cacheId="1273" r:id="rId8"/>
    <pivotCache cacheId="1276" r:id="rId9"/>
    <pivotCache cacheId="1279" r:id="rId10"/>
    <pivotCache cacheId="1282" r:id="rId11"/>
    <pivotCache cacheId="1285" r:id="rId12"/>
    <pivotCache cacheId="1288" r:id="rId13"/>
    <pivotCache cacheId="1291" r:id="rId14"/>
    <pivotCache cacheId="1294" r:id="rId15"/>
    <pivotCache cacheId="1297" r:id="rId16"/>
    <pivotCache cacheId="1300" r:id="rId17"/>
    <pivotCache cacheId="1303" r:id="rId18"/>
  </pivotCaches>
  <extLst>
    <ext xmlns:x14="http://schemas.microsoft.com/office/spreadsheetml/2009/9/main" uri="{876F7934-8845-4945-9796-88D515C7AA90}">
      <x14:pivotCaches>
        <pivotCache cacheId="96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a391f9a1-369b-4aee-9d81-e2b7ba5a9cc0" name="Hospital Emergency Room Data" connection="Query - Hospital Emergency Room Data"/>
          <x15:modelTable id="Calender_table_7db3c5ba-75ff-409f-92c5-f6c6e10dfd93"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calculatedTimeColumn columnName="Date (Hour)" columnId="Date (Hour)" contentType="hour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3" i="1" l="1"/>
  <c r="B53" i="1"/>
  <c r="A53" i="1"/>
  <c r="C52" i="1"/>
  <c r="B52" i="1"/>
  <c r="A5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3A6138-7D6D-4AF7-BFA2-8FF529C1126E}" name="Query - Calender_table" description="Connection to the 'Calender_table' query in the workbook." type="100" refreshedVersion="8" minRefreshableVersion="5">
    <extLst>
      <ext xmlns:x15="http://schemas.microsoft.com/office/spreadsheetml/2010/11/main" uri="{DE250136-89BD-433C-8126-D09CA5730AF9}">
        <x15:connection id="b2880c91-947e-4d22-a06c-a78dc4c131ed"/>
      </ext>
    </extLst>
  </connection>
  <connection id="2" xr16:uid="{414FBBFD-481C-4B0A-934A-6F45BF8EB347}"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a322c7e3-b5ce-4bb7-9595-a8402d135561"/>
      </ext>
    </extLst>
  </connection>
  <connection id="3" xr16:uid="{CFF9D4EB-8052-48A1-BD15-8BE89561889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<sst xmlns="http://schemas.openxmlformats.org/spreadsheetml/2006/main" count="147" uniqueCount="70">
  <si>
    <t>Distinct Count of Patient Id</t>
  </si>
  <si>
    <t>Average of Patient Waittime</t>
  </si>
  <si>
    <t>Average of Patient Satisfaction Score</t>
  </si>
  <si>
    <t>Male</t>
  </si>
  <si>
    <t>None</t>
  </si>
  <si>
    <t>Admitted</t>
  </si>
  <si>
    <t>60-69</t>
  </si>
  <si>
    <t>Delay</t>
  </si>
  <si>
    <t>70-79</t>
  </si>
  <si>
    <t>10-19</t>
  </si>
  <si>
    <t>Ontime</t>
  </si>
  <si>
    <t>40-49</t>
  </si>
  <si>
    <t>50-59</t>
  </si>
  <si>
    <t>20-29</t>
  </si>
  <si>
    <t>0-9</t>
  </si>
  <si>
    <t>30-39</t>
  </si>
  <si>
    <t>Female</t>
  </si>
  <si>
    <t>Not Admitted</t>
  </si>
  <si>
    <t>Grand Total</t>
  </si>
  <si>
    <t>2024</t>
  </si>
  <si>
    <t>Row Labels</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</si>
  <si>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</si>
  <si>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</si>
  <si>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</si>
  <si>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</si>
  <si>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</si>
  <si>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</si>
  <si>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</si>
  <si>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</si>
  <si>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</si>
  <si>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</si>
  <si>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</si>
  <si>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</si>
  <si>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</si>
  <si>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</si>
  <si>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</si>
  <si>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</si>
  <si>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</si>
  <si>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</si>
  <si>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</si>
  <si>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</si>
  <si>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</si>
  <si>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</si>
  <si>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</si>
  <si>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</si>
  <si>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</si>
  <si>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</si>
  <si>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</si>
  <si>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</si>
  <si>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</si>
  <si>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General Practice</t>
  </si>
  <si>
    <t>Orthopedics</t>
  </si>
  <si>
    <t>Physiotherapy</t>
  </si>
  <si>
    <t>Neurology</t>
  </si>
  <si>
    <t>Cardiology</t>
  </si>
  <si>
    <t>Renal</t>
  </si>
  <si>
    <t>Gastroenterology</t>
  </si>
  <si>
    <t>Count of Patient Admission Flag</t>
  </si>
  <si>
    <t>Count of Patient Admission Flag2</t>
  </si>
  <si>
    <t>Admission Status</t>
  </si>
  <si>
    <t>%Status</t>
  </si>
  <si>
    <t>No. of     Patient</t>
  </si>
  <si>
    <t>Count of Age Group</t>
  </si>
  <si>
    <t>Age Group wise Analysis</t>
  </si>
  <si>
    <t>Count of Patient attend Status</t>
  </si>
  <si>
    <t xml:space="preserve"> </t>
  </si>
  <si>
    <t>Attended Status</t>
  </si>
  <si>
    <t>Count of Patient Gender</t>
  </si>
  <si>
    <t>Gender</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</si>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</sst>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b/>
      <sz val="11"/>
      <color theme="6"/>
      <name val="Aptos Narrow"/>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6"/>
        <bgColor indexed="64"/>
      </patternFill>
    </fill>
    <fill>
      <patternFill patternType="solid">
        <fgColor theme="5"/>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NumberFormat="1"/>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0" fillId="4" borderId="0" xfId="0" applyFill="1"/>
    <xf numFmtId="10" fontId="0" fillId="0" borderId="0" xfId="0" applyNumberFormat="1"/>
    <xf numFmtId="0" fontId="0" fillId="5" borderId="0" xfId="0" applyFill="1"/>
    <xf numFmtId="0" fontId="1" fillId="5" borderId="0" xfId="0" applyFont="1" applyFill="1"/>
    <xf numFmtId="0" fontId="1" fillId="5" borderId="0" xfId="0" applyFont="1" applyFill="1" applyAlignment="1">
      <alignment horizontal="center" vertical="center"/>
    </xf>
    <xf numFmtId="0" fontId="0" fillId="0" borderId="0" xfId="0" applyAlignment="1">
      <alignment horizontal="center" vertical="center"/>
    </xf>
  </cellXfs>
  <cellStyles count="1">
    <cellStyle name="Normal" xfId="0" builtinId="0"/>
  </cellStyles>
  <dxfs count="34">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color theme="1"/>
      </font>
      <border>
        <bottom style="thin">
          <color theme="6"/>
        </bottom>
        <vertical/>
        <horizontal/>
      </border>
    </dxf>
    <dxf>
      <font>
        <sz val="7"/>
        <color theme="1"/>
      </font>
      <border>
        <left style="thin">
          <color theme="6"/>
        </left>
        <right style="thin">
          <color theme="6"/>
        </right>
        <top style="thin">
          <color theme="6"/>
        </top>
        <bottom style="thin">
          <color theme="6"/>
        </bottom>
        <vertical/>
        <horizontal/>
      </border>
    </dxf>
    <dxf>
      <numFmt numFmtId="2" formatCode="0.00"/>
    </dxf>
    <dxf>
      <numFmt numFmtId="2" formatCode="0.00"/>
    </dxf>
  </dxfs>
  <tableStyles count="1" defaultTableStyle="TableStyleMedium2" defaultPivotStyle="PivotStyleLight16">
    <tableStyle name="SlicerStyleDark3 2" pivot="0" table="0" count="10" xr9:uid="{05EF9856-022D-4CCD-94F9-051A9E827EF9}">
      <tableStyleElement type="wholeTable" dxfId="31"/>
      <tableStyleElement type="headerRow" dxfId="3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1.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Hospital dasboard project.xlsx]Pivot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3474758683650254E-2"/>
              <c:y val="2.6459495445400529E-2"/>
            </c:manualLayout>
          </c:layout>
          <c:tx>
            <c:rich>
              <a:bodyPr rot="0" spcFirstLastPara="1" vertOverflow="ellipsis" vert="horz" wrap="none" lIns="0" tIns="0" rIns="0" bIns="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1D19FDE-AE2C-4C46-8C4F-AE17E0C1556C}" type="CELLRANGE">
                  <a:rPr lang="en-US"/>
                  <a:pPr>
                    <a:defRPr/>
                  </a:pPr>
                  <a:t>[CELLRANGE]</a:t>
                </a:fld>
                <a:r>
                  <a:rPr lang="en-US" baseline="0"/>
                  <a:t>,</a:t>
                </a:r>
              </a:p>
            </c:rich>
          </c:tx>
          <c:spPr>
            <a:noFill/>
            <a:ln>
              <a:noFill/>
            </a:ln>
            <a:effectLst/>
          </c:spPr>
          <c:txPr>
            <a:bodyPr rot="0" spcFirstLastPara="1" vertOverflow="ellipsis" vert="horz" wrap="none" lIns="0" tIns="0" rIns="0" bIns="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657235484151531"/>
                  <c:h val="0.24573434518520676"/>
                </c:manualLayout>
              </c15:layout>
              <c15:dlblFieldTable/>
              <c15:showDataLabelsRange val="1"/>
            </c:ext>
          </c:extLst>
        </c:dLbl>
      </c:pivotFmt>
      <c:pivotFmt>
        <c:idx val="3"/>
        <c:spPr>
          <a:solidFill>
            <a:schemeClr val="accent1"/>
          </a:solidFill>
          <a:ln>
            <a:noFill/>
          </a:ln>
          <a:effectLst/>
        </c:spPr>
        <c:dLbl>
          <c:idx val="0"/>
          <c:layout>
            <c:manualLayout>
              <c:x val="3.5382814168673157E-2"/>
              <c:y val="1.7361458823924439E-2"/>
            </c:manualLayout>
          </c:layout>
          <c:tx>
            <c:rich>
              <a:bodyPr rot="0" spcFirstLastPara="1" vertOverflow="ellipsis" vert="horz" wrap="none" lIns="0" tIns="0" rIns="0" bIns="0" anchor="ctr" anchorCtr="1">
                <a:noAutofit/>
              </a:bodyPr>
              <a:lstStyle/>
              <a:p>
                <a:pPr>
                  <a:defRPr sz="900" b="0" i="0" u="none" strike="noStrike" kern="1200" baseline="0">
                    <a:solidFill>
                      <a:schemeClr val="tx1">
                        <a:lumMod val="75000"/>
                        <a:lumOff val="25000"/>
                      </a:schemeClr>
                    </a:solidFill>
                    <a:latin typeface="+mn-lt"/>
                    <a:ea typeface="+mn-ea"/>
                    <a:cs typeface="+mn-cs"/>
                  </a:defRPr>
                </a:pPr>
                <a:fld id="{E39EDA0C-F7E3-406E-B64F-196F755031F7}" type="CELLRANGE">
                  <a:rPr lang="en-US"/>
                  <a:pPr>
                    <a:defRPr/>
                  </a:pPr>
                  <a:t>[CELLRANGE]</a:t>
                </a:fld>
                <a:r>
                  <a:rPr lang="en-US" baseline="0"/>
                  <a:t>,</a:t>
                </a:r>
              </a:p>
            </c:rich>
          </c:tx>
          <c:spPr>
            <a:noFill/>
            <a:ln>
              <a:noFill/>
            </a:ln>
            <a:effectLst/>
          </c:spPr>
          <c:txPr>
            <a:bodyPr rot="0" spcFirstLastPara="1" vertOverflow="ellipsis" vert="horz" wrap="none" lIns="0" tIns="0" rIns="0" bIns="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575473998780078"/>
                  <c:h val="0.39878519511164834"/>
                </c:manualLayout>
              </c15:layout>
              <c15:dlblFieldTable/>
              <c15:showDataLabelsRange val="1"/>
            </c:ext>
          </c:extLst>
        </c:dLbl>
      </c:pivotFmt>
    </c:pivotFmts>
    <c:plotArea>
      <c:layout>
        <c:manualLayout>
          <c:layoutTarget val="inner"/>
          <c:xMode val="edge"/>
          <c:yMode val="edge"/>
          <c:x val="9.8342664841770781E-3"/>
          <c:y val="8.2503498253055207E-3"/>
          <c:w val="0.95646789377259112"/>
          <c:h val="0.94797731879049174"/>
        </c:manualLayout>
      </c:layout>
      <c:barChart>
        <c:barDir val="bar"/>
        <c:grouping val="clustered"/>
        <c:varyColors val="0"/>
        <c:ser>
          <c:idx val="0"/>
          <c:order val="0"/>
          <c:tx>
            <c:strRef>
              <c:f>'Pivot Report'!$C$41:$C$42</c:f>
              <c:strCache>
                <c:ptCount val="1"/>
                <c:pt idx="0">
                  <c:v>Count of Patient Admission Flag</c:v>
                </c:pt>
              </c:strCache>
            </c:strRef>
          </c:tx>
          <c:spPr>
            <a:solidFill>
              <a:schemeClr val="accent1"/>
            </a:solidFill>
            <a:ln>
              <a:noFill/>
            </a:ln>
            <a:effectLst/>
          </c:spPr>
          <c:invertIfNegative val="0"/>
          <c:dLbls>
            <c:dLbl>
              <c:idx val="0"/>
              <c:layout>
                <c:manualLayout>
                  <c:x val="1.3474758683650254E-2"/>
                  <c:y val="2.6459495445400529E-2"/>
                </c:manualLayout>
              </c:layout>
              <c:tx>
                <c:rich>
                  <a:bodyPr rot="0" spcFirstLastPara="1" vertOverflow="ellipsis" vert="horz" wrap="none" lIns="0" tIns="0" rIns="0" bIns="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1D19FDE-AE2C-4C46-8C4F-AE17E0C1556C}" type="CELLRANGE">
                      <a:rPr lang="en-US"/>
                      <a:pPr>
                        <a:defRPr/>
                      </a:pPr>
                      <a:t>[CELLRANGE]</a:t>
                    </a:fld>
                    <a:r>
                      <a:rPr lang="en-US" baseline="0"/>
                      <a:t>,</a:t>
                    </a:r>
                  </a:p>
                </c:rich>
              </c:tx>
              <c:spPr>
                <a:noFill/>
                <a:ln>
                  <a:noFill/>
                </a:ln>
                <a:effectLst/>
              </c:spPr>
              <c:txPr>
                <a:bodyPr rot="0" spcFirstLastPara="1" vertOverflow="ellipsis" vert="horz" wrap="none" lIns="0" tIns="0" rIns="0" bIns="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657235484151531"/>
                      <c:h val="0.24573434518520676"/>
                    </c:manualLayout>
                  </c15:layout>
                  <c15:dlblFieldTable/>
                  <c15:showDataLabelsRange val="1"/>
                </c:ext>
                <c:ext xmlns:c16="http://schemas.microsoft.com/office/drawing/2014/chart" uri="{C3380CC4-5D6E-409C-BE32-E72D297353CC}">
                  <c16:uniqueId val="{00000003-9166-48B8-8DA3-071C43B5D5C2}"/>
                </c:ext>
              </c:extLst>
            </c:dLbl>
            <c:dLbl>
              <c:idx val="1"/>
              <c:layout>
                <c:manualLayout>
                  <c:x val="3.5382814168673157E-2"/>
                  <c:y val="1.7361458823924439E-2"/>
                </c:manualLayout>
              </c:layout>
              <c:tx>
                <c:rich>
                  <a:bodyPr rot="0" spcFirstLastPara="1" vertOverflow="ellipsis" vert="horz" wrap="none" lIns="0" tIns="0" rIns="0" bIns="0" anchor="ctr" anchorCtr="1">
                    <a:noAutofit/>
                  </a:bodyPr>
                  <a:lstStyle/>
                  <a:p>
                    <a:pPr>
                      <a:defRPr sz="900" b="0" i="0" u="none" strike="noStrike" kern="1200" baseline="0">
                        <a:solidFill>
                          <a:schemeClr val="tx1">
                            <a:lumMod val="75000"/>
                            <a:lumOff val="25000"/>
                          </a:schemeClr>
                        </a:solidFill>
                        <a:latin typeface="+mn-lt"/>
                        <a:ea typeface="+mn-ea"/>
                        <a:cs typeface="+mn-cs"/>
                      </a:defRPr>
                    </a:pPr>
                    <a:fld id="{E39EDA0C-F7E3-406E-B64F-196F755031F7}" type="CELLRANGE">
                      <a:rPr lang="en-US"/>
                      <a:pPr>
                        <a:defRPr/>
                      </a:pPr>
                      <a:t>[CELLRANGE]</a:t>
                    </a:fld>
                    <a:r>
                      <a:rPr lang="en-US" baseline="0"/>
                      <a:t>,</a:t>
                    </a:r>
                  </a:p>
                </c:rich>
              </c:tx>
              <c:spPr>
                <a:noFill/>
                <a:ln>
                  <a:noFill/>
                </a:ln>
                <a:effectLst/>
              </c:spPr>
              <c:txPr>
                <a:bodyPr rot="0" spcFirstLastPara="1" vertOverflow="ellipsis" vert="horz" wrap="none" lIns="0" tIns="0" rIns="0" bIns="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575473998780078"/>
                      <c:h val="0.39878519511164834"/>
                    </c:manualLayout>
                  </c15:layout>
                  <c15:dlblFieldTable/>
                  <c15:showDataLabelsRange val="1"/>
                </c:ext>
                <c:ext xmlns:c16="http://schemas.microsoft.com/office/drawing/2014/chart" uri="{C3380CC4-5D6E-409C-BE32-E72D297353CC}">
                  <c16:uniqueId val="{00000004-9166-48B8-8DA3-071C43B5D5C2}"/>
                </c:ext>
              </c:extLst>
            </c:dLbl>
            <c:spPr>
              <a:noFill/>
              <a:ln>
                <a:noFill/>
              </a:ln>
              <a:effectLst/>
            </c:spPr>
            <c:txPr>
              <a:bodyPr rot="0" spcFirstLastPara="1" vertOverflow="ellipsis" vert="horz" wrap="non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Report'!$C$41:$C$42</c:f>
              <c:strCache>
                <c:ptCount val="2"/>
                <c:pt idx="0">
                  <c:v>Admitted</c:v>
                </c:pt>
                <c:pt idx="1">
                  <c:v>Not Admitted</c:v>
                </c:pt>
              </c:strCache>
            </c:strRef>
          </c:cat>
          <c:val>
            <c:numRef>
              <c:f>'Pivot Report'!$C$41:$C$42</c:f>
              <c:numCache>
                <c:formatCode>General</c:formatCode>
                <c:ptCount val="2"/>
                <c:pt idx="0">
                  <c:v>224</c:v>
                </c:pt>
                <c:pt idx="1">
                  <c:v>207</c:v>
                </c:pt>
              </c:numCache>
            </c:numRef>
          </c:val>
          <c:extLst>
            <c:ext xmlns:c15="http://schemas.microsoft.com/office/drawing/2012/chart" uri="{02D57815-91ED-43cb-92C2-25804820EDAC}">
              <c15:datalabelsRange>
                <c15:f>'Pivot Report'!$C$41:$C$42</c15:f>
                <c15:dlblRangeCache>
                  <c:ptCount val="2"/>
                  <c:pt idx="0">
                    <c:v>51.97%</c:v>
                  </c:pt>
                  <c:pt idx="1">
                    <c:v>48.03%</c:v>
                  </c:pt>
                </c15:dlblRangeCache>
              </c15:datalabelsRange>
            </c:ext>
            <c:ext xmlns:c16="http://schemas.microsoft.com/office/drawing/2014/chart" uri="{C3380CC4-5D6E-409C-BE32-E72D297353CC}">
              <c16:uniqueId val="{00000000-9166-48B8-8DA3-071C43B5D5C2}"/>
            </c:ext>
          </c:extLst>
        </c:ser>
        <c:ser>
          <c:idx val="1"/>
          <c:order val="1"/>
          <c:tx>
            <c:strRef>
              <c:f>'Pivot Report'!$C$41:$C$42</c:f>
              <c:strCache>
                <c:ptCount val="1"/>
                <c:pt idx="0">
                  <c:v>Count of Patient Admission Flag2</c:v>
                </c:pt>
              </c:strCache>
            </c:strRef>
          </c:tx>
          <c:spPr>
            <a:solidFill>
              <a:schemeClr val="accent2"/>
            </a:solidFill>
            <a:ln>
              <a:noFill/>
            </a:ln>
            <a:effectLst/>
          </c:spPr>
          <c:invertIfNegative val="0"/>
          <c:cat>
            <c:strRef>
              <c:f>'Pivot Report'!$C$41:$C$42</c:f>
              <c:strCache>
                <c:ptCount val="2"/>
                <c:pt idx="0">
                  <c:v>Admitted</c:v>
                </c:pt>
                <c:pt idx="1">
                  <c:v>Not Admitted</c:v>
                </c:pt>
              </c:strCache>
            </c:strRef>
          </c:cat>
          <c:val>
            <c:numRef>
              <c:f>'Pivot Report'!$C$41:$C$42</c:f>
              <c:numCache>
                <c:formatCode>0.00%</c:formatCode>
                <c:ptCount val="2"/>
                <c:pt idx="0">
                  <c:v>0.51972157772621808</c:v>
                </c:pt>
                <c:pt idx="1">
                  <c:v>0.48027842227378192</c:v>
                </c:pt>
              </c:numCache>
            </c:numRef>
          </c:val>
          <c:extLst>
            <c:ext xmlns:c16="http://schemas.microsoft.com/office/drawing/2014/chart" uri="{C3380CC4-5D6E-409C-BE32-E72D297353CC}">
              <c16:uniqueId val="{00000001-9166-48B8-8DA3-071C43B5D5C2}"/>
            </c:ext>
          </c:extLst>
        </c:ser>
        <c:dLbls>
          <c:showLegendKey val="0"/>
          <c:showVal val="0"/>
          <c:showCatName val="0"/>
          <c:showSerName val="0"/>
          <c:showPercent val="0"/>
          <c:showBubbleSize val="0"/>
        </c:dLbls>
        <c:gapWidth val="0"/>
        <c:axId val="1893135151"/>
        <c:axId val="450465040"/>
      </c:barChart>
      <c:catAx>
        <c:axId val="1893135151"/>
        <c:scaling>
          <c:orientation val="minMax"/>
        </c:scaling>
        <c:delete val="1"/>
        <c:axPos val="l"/>
        <c:numFmt formatCode="General" sourceLinked="1"/>
        <c:majorTickMark val="none"/>
        <c:minorTickMark val="none"/>
        <c:tickLblPos val="nextTo"/>
        <c:crossAx val="450465040"/>
        <c:crosses val="autoZero"/>
        <c:auto val="1"/>
        <c:lblAlgn val="ctr"/>
        <c:lblOffset val="100"/>
        <c:noMultiLvlLbl val="0"/>
      </c:catAx>
      <c:valAx>
        <c:axId val="450465040"/>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93135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Hospital dasboard project.xlsx]Pivot Report!PivotTable4</c:name>
    <c:fmtId val="4"/>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1.9813518904359208E-2"/>
          <c:y val="0.17123287671232873"/>
          <c:w val="0.98018648109564077"/>
          <c:h val="0.7739630071736453"/>
        </c:manualLayout>
      </c:layout>
      <c:areaChart>
        <c:grouping val="standard"/>
        <c:varyColors val="0"/>
        <c:ser>
          <c:idx val="0"/>
          <c:order val="0"/>
          <c:tx>
            <c:strRef>
              <c:f>'Pivot Report'!$I$3</c:f>
              <c:strCache>
                <c:ptCount val="1"/>
                <c:pt idx="0">
                  <c:v>Total</c:v>
                </c:pt>
              </c:strCache>
            </c:strRef>
          </c:tx>
          <c:spPr>
            <a:solidFill>
              <a:schemeClr val="accent1"/>
            </a:solidFill>
            <a:ln>
              <a:noFill/>
            </a:ln>
            <a:effectLst/>
          </c:spPr>
          <c:cat>
            <c:strRef>
              <c:f>'Pivot Report'!$H$4:$H$33</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Report'!$I$4:$I$33</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1-C95E-4CD1-9A37-7CB453CB10F3}"/>
            </c:ext>
          </c:extLst>
        </c:ser>
        <c:dLbls>
          <c:showLegendKey val="0"/>
          <c:showVal val="0"/>
          <c:showCatName val="0"/>
          <c:showSerName val="0"/>
          <c:showPercent val="0"/>
          <c:showBubbleSize val="0"/>
        </c:dLbls>
        <c:axId val="1893055343"/>
        <c:axId val="450428560"/>
      </c:areaChart>
      <c:catAx>
        <c:axId val="1893055343"/>
        <c:scaling>
          <c:orientation val="minMax"/>
        </c:scaling>
        <c:delete val="1"/>
        <c:axPos val="b"/>
        <c:numFmt formatCode="General" sourceLinked="1"/>
        <c:majorTickMark val="out"/>
        <c:minorTickMark val="none"/>
        <c:tickLblPos val="nextTo"/>
        <c:crossAx val="450428560"/>
        <c:crosses val="autoZero"/>
        <c:auto val="1"/>
        <c:lblAlgn val="ctr"/>
        <c:lblOffset val="100"/>
        <c:noMultiLvlLbl val="0"/>
      </c:catAx>
      <c:valAx>
        <c:axId val="450428560"/>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893055343"/>
        <c:crosses val="autoZero"/>
        <c:crossBetween val="midCat"/>
      </c:valAx>
      <c:spPr>
        <a:noFill/>
      </c:spPr>
    </c:plotArea>
    <c:plotVisOnly val="1"/>
    <c:dispBlanksAs val="zero"/>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Hospital dasboard project.xlsx]Pivot Report!PivotTable5</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Report'!$L$3</c:f>
              <c:strCache>
                <c:ptCount val="1"/>
                <c:pt idx="0">
                  <c:v>Total</c:v>
                </c:pt>
              </c:strCache>
            </c:strRef>
          </c:tx>
          <c:spPr>
            <a:solidFill>
              <a:schemeClr val="accent1"/>
            </a:solidFill>
            <a:ln>
              <a:noFill/>
            </a:ln>
            <a:effectLst/>
          </c:spPr>
          <c:cat>
            <c:strRef>
              <c:f>'Pivot Report'!$K$4:$K$33</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Report'!$L$4:$L$33</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24DC-4777-8313-581FB0CB3E45}"/>
            </c:ext>
          </c:extLst>
        </c:ser>
        <c:dLbls>
          <c:showLegendKey val="0"/>
          <c:showVal val="0"/>
          <c:showCatName val="0"/>
          <c:showSerName val="0"/>
          <c:showPercent val="0"/>
          <c:showBubbleSize val="0"/>
        </c:dLbls>
        <c:axId val="210045056"/>
        <c:axId val="450441040"/>
      </c:areaChart>
      <c:catAx>
        <c:axId val="210045056"/>
        <c:scaling>
          <c:orientation val="minMax"/>
        </c:scaling>
        <c:delete val="1"/>
        <c:axPos val="b"/>
        <c:numFmt formatCode="General" sourceLinked="1"/>
        <c:majorTickMark val="out"/>
        <c:minorTickMark val="none"/>
        <c:tickLblPos val="nextTo"/>
        <c:crossAx val="450441040"/>
        <c:crosses val="autoZero"/>
        <c:auto val="1"/>
        <c:lblAlgn val="ctr"/>
        <c:lblOffset val="100"/>
        <c:noMultiLvlLbl val="0"/>
      </c:catAx>
      <c:valAx>
        <c:axId val="450441040"/>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2100450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Hospital dasboard project.xlsx]Pivot Report!PivotTable6</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2320118752747903"/>
          <c:w val="0.95688405059067394"/>
          <c:h val="0.72605247234689041"/>
        </c:manualLayout>
      </c:layout>
      <c:areaChart>
        <c:grouping val="standard"/>
        <c:varyColors val="0"/>
        <c:ser>
          <c:idx val="0"/>
          <c:order val="0"/>
          <c:tx>
            <c:strRef>
              <c:f>'Pivot Report'!$P$3</c:f>
              <c:strCache>
                <c:ptCount val="1"/>
                <c:pt idx="0">
                  <c:v>Total</c:v>
                </c:pt>
              </c:strCache>
            </c:strRef>
          </c:tx>
          <c:spPr>
            <a:solidFill>
              <a:schemeClr val="accent1"/>
            </a:solidFill>
            <a:ln>
              <a:noFill/>
            </a:ln>
            <a:effectLst/>
          </c:spPr>
          <c:cat>
            <c:strRef>
              <c:f>'Pivot Report'!$O$4:$O$32</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Report'!$P$4:$P$32</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0-41CE-4924-9AF5-3DC1AC383534}"/>
            </c:ext>
          </c:extLst>
        </c:ser>
        <c:dLbls>
          <c:showLegendKey val="0"/>
          <c:showVal val="0"/>
          <c:showCatName val="0"/>
          <c:showSerName val="0"/>
          <c:showPercent val="0"/>
          <c:showBubbleSize val="0"/>
        </c:dLbls>
        <c:axId val="1893311615"/>
        <c:axId val="450452560"/>
      </c:areaChart>
      <c:catAx>
        <c:axId val="1893311615"/>
        <c:scaling>
          <c:orientation val="minMax"/>
        </c:scaling>
        <c:delete val="1"/>
        <c:axPos val="b"/>
        <c:numFmt formatCode="General" sourceLinked="1"/>
        <c:majorTickMark val="out"/>
        <c:minorTickMark val="none"/>
        <c:tickLblPos val="nextTo"/>
        <c:crossAx val="450452560"/>
        <c:crosses val="autoZero"/>
        <c:auto val="1"/>
        <c:lblAlgn val="ctr"/>
        <c:lblOffset val="100"/>
        <c:noMultiLvlLbl val="0"/>
      </c:catAx>
      <c:valAx>
        <c:axId val="450452560"/>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1893311615"/>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Hospital dasboard project.xlsx]Pivot Report!PivotTable8</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576406422220497E-2"/>
          <c:y val="0.14184094725791091"/>
          <c:w val="0.92833190587111492"/>
          <c:h val="0.56005750802614662"/>
        </c:manualLayout>
      </c:layout>
      <c:barChart>
        <c:barDir val="col"/>
        <c:grouping val="clustered"/>
        <c:varyColors val="0"/>
        <c:ser>
          <c:idx val="0"/>
          <c:order val="0"/>
          <c:tx>
            <c:strRef>
              <c:f>'Pivot Report'!$B$58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Report'!$A$59:$A$67</c:f>
              <c:strCache>
                <c:ptCount val="8"/>
                <c:pt idx="0">
                  <c:v>0-9</c:v>
                </c:pt>
                <c:pt idx="1">
                  <c:v>10-19</c:v>
                </c:pt>
                <c:pt idx="2">
                  <c:v>20-29</c:v>
                </c:pt>
                <c:pt idx="3">
                  <c:v>30-39</c:v>
                </c:pt>
                <c:pt idx="4">
                  <c:v>40-49</c:v>
                </c:pt>
                <c:pt idx="5">
                  <c:v>50-59</c:v>
                </c:pt>
                <c:pt idx="6">
                  <c:v>60-69</c:v>
                </c:pt>
                <c:pt idx="7">
                  <c:v>70-79</c:v>
                </c:pt>
              </c:strCache>
            </c:strRef>
          </c:cat>
          <c:val>
            <c:numRef>
              <c:f>'Pivot Report'!$B$59:$B$67</c:f>
              <c:numCache>
                <c:formatCode>General</c:formatCode>
                <c:ptCount val="8"/>
                <c:pt idx="0">
                  <c:v>42</c:v>
                </c:pt>
                <c:pt idx="1">
                  <c:v>46</c:v>
                </c:pt>
                <c:pt idx="2">
                  <c:v>54</c:v>
                </c:pt>
                <c:pt idx="3">
                  <c:v>68</c:v>
                </c:pt>
                <c:pt idx="4">
                  <c:v>62</c:v>
                </c:pt>
                <c:pt idx="5">
                  <c:v>52</c:v>
                </c:pt>
                <c:pt idx="6">
                  <c:v>54</c:v>
                </c:pt>
                <c:pt idx="7">
                  <c:v>53</c:v>
                </c:pt>
              </c:numCache>
            </c:numRef>
          </c:val>
          <c:extLst>
            <c:ext xmlns:c16="http://schemas.microsoft.com/office/drawing/2014/chart" uri="{C3380CC4-5D6E-409C-BE32-E72D297353CC}">
              <c16:uniqueId val="{00000000-1E5F-493E-B6FE-2D185F40E66F}"/>
            </c:ext>
          </c:extLst>
        </c:ser>
        <c:dLbls>
          <c:showLegendKey val="0"/>
          <c:showVal val="0"/>
          <c:showCatName val="0"/>
          <c:showSerName val="0"/>
          <c:showPercent val="0"/>
          <c:showBubbleSize val="0"/>
        </c:dLbls>
        <c:gapWidth val="219"/>
        <c:overlap val="-27"/>
        <c:axId val="1893371007"/>
        <c:axId val="450372400"/>
      </c:barChart>
      <c:catAx>
        <c:axId val="189337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372400"/>
        <c:crosses val="autoZero"/>
        <c:auto val="1"/>
        <c:lblAlgn val="ctr"/>
        <c:lblOffset val="100"/>
        <c:noMultiLvlLbl val="0"/>
      </c:catAx>
      <c:valAx>
        <c:axId val="450372400"/>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89337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Hospital dasboard project.xlsx]Pivot Report!PivotTable9</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804178887440224"/>
          <c:y val="0.18396430030313068"/>
          <c:w val="0.6213194620540774"/>
          <c:h val="0.80212201130438898"/>
        </c:manualLayout>
      </c:layout>
      <c:pieChart>
        <c:varyColors val="1"/>
        <c:ser>
          <c:idx val="0"/>
          <c:order val="0"/>
          <c:tx>
            <c:strRef>
              <c:f>'Pivot Report'!$B$70</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ECCF-46F7-B109-D3DBF47BCCE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CCF-46F7-B109-D3DBF47BCCE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Report'!$A$71:$A$73</c:f>
              <c:strCache>
                <c:ptCount val="2"/>
                <c:pt idx="0">
                  <c:v>Delay</c:v>
                </c:pt>
                <c:pt idx="1">
                  <c:v>Ontime</c:v>
                </c:pt>
              </c:strCache>
            </c:strRef>
          </c:cat>
          <c:val>
            <c:numRef>
              <c:f>'Pivot Report'!$B$71:$B$73</c:f>
              <c:numCache>
                <c:formatCode>General</c:formatCode>
                <c:ptCount val="2"/>
                <c:pt idx="0">
                  <c:v>283</c:v>
                </c:pt>
                <c:pt idx="1">
                  <c:v>148</c:v>
                </c:pt>
              </c:numCache>
            </c:numRef>
          </c:val>
          <c:extLst>
            <c:ext xmlns:c16="http://schemas.microsoft.com/office/drawing/2014/chart" uri="{C3380CC4-5D6E-409C-BE32-E72D297353CC}">
              <c16:uniqueId val="{00000004-ECCF-46F7-B109-D3DBF47BCCE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7975065507834387"/>
          <c:y val="2.8012789623061491E-2"/>
          <c:w val="0.72963572183537118"/>
          <c:h val="8.2930060618724447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Hospital dasboard project.xlsx]Pivot Report!PivotTable10</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5830733364058328"/>
                  <c:h val="0.33593223424567581"/>
                </c:manualLayout>
              </c15:layout>
            </c:ext>
          </c:extLst>
        </c:dLbl>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0393167592488831"/>
          <c:y val="0.26171564303563183"/>
          <c:w val="0.59642270065963254"/>
          <c:h val="0.73828435696436812"/>
        </c:manualLayout>
      </c:layout>
      <c:doughnutChart>
        <c:varyColors val="1"/>
        <c:ser>
          <c:idx val="0"/>
          <c:order val="0"/>
          <c:tx>
            <c:strRef>
              <c:f>'Pivot Report'!$B$77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193-48E2-B608-E8C0412FD16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193-48E2-B608-E8C0412FD164}"/>
              </c:ext>
            </c:extLst>
          </c:dPt>
          <c:dLbls>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5830733364058328"/>
                      <c:h val="0.33593223424567581"/>
                    </c:manualLayout>
                  </c15:layout>
                </c:ext>
                <c:ext xmlns:c16="http://schemas.microsoft.com/office/drawing/2014/chart" uri="{C3380CC4-5D6E-409C-BE32-E72D297353CC}">
                  <c16:uniqueId val="{00000001-7193-48E2-B608-E8C0412FD164}"/>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Report'!$A$78:$A$80</c:f>
              <c:strCache>
                <c:ptCount val="2"/>
                <c:pt idx="0">
                  <c:v>Female</c:v>
                </c:pt>
                <c:pt idx="1">
                  <c:v>Male</c:v>
                </c:pt>
              </c:strCache>
            </c:strRef>
          </c:cat>
          <c:val>
            <c:numRef>
              <c:f>'Pivot Report'!$B$78:$B$80</c:f>
              <c:numCache>
                <c:formatCode>General</c:formatCode>
                <c:ptCount val="2"/>
                <c:pt idx="0">
                  <c:v>194</c:v>
                </c:pt>
                <c:pt idx="1">
                  <c:v>237</c:v>
                </c:pt>
              </c:numCache>
            </c:numRef>
          </c:val>
          <c:extLst>
            <c:ext xmlns:c16="http://schemas.microsoft.com/office/drawing/2014/chart" uri="{C3380CC4-5D6E-409C-BE32-E72D297353CC}">
              <c16:uniqueId val="{00000004-7193-48E2-B608-E8C0412FD16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4764342941494163"/>
          <c:y val="4.8564212228934416E-2"/>
          <c:w val="0.68562179778291354"/>
          <c:h val="0.1560490509562111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Hospital dasboard project.xlsx]Pivot Report!PivotTable11</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165138276519092"/>
          <c:y val="9.2764943129733352E-2"/>
          <c:w val="0.56995842465032076"/>
          <c:h val="0.82993093759548886"/>
        </c:manualLayout>
      </c:layout>
      <c:barChart>
        <c:barDir val="bar"/>
        <c:grouping val="clustered"/>
        <c:varyColors val="0"/>
        <c:ser>
          <c:idx val="0"/>
          <c:order val="0"/>
          <c:tx>
            <c:strRef>
              <c:f>'Pivot Report'!$B$84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Report'!$A$85:$A$93</c:f>
              <c:strCache>
                <c:ptCount val="8"/>
                <c:pt idx="0">
                  <c:v>Neurology</c:v>
                </c:pt>
                <c:pt idx="1">
                  <c:v>Gastroenterology</c:v>
                </c:pt>
                <c:pt idx="2">
                  <c:v>Renal</c:v>
                </c:pt>
                <c:pt idx="3">
                  <c:v>Cardiology</c:v>
                </c:pt>
                <c:pt idx="4">
                  <c:v>Physiotherapy</c:v>
                </c:pt>
                <c:pt idx="5">
                  <c:v>Orthopedics</c:v>
                </c:pt>
                <c:pt idx="6">
                  <c:v>General Practice</c:v>
                </c:pt>
                <c:pt idx="7">
                  <c:v>None</c:v>
                </c:pt>
              </c:strCache>
            </c:strRef>
          </c:cat>
          <c:val>
            <c:numRef>
              <c:f>'Pivot Report'!$B$85:$B$93</c:f>
              <c:numCache>
                <c:formatCode>General</c:formatCode>
                <c:ptCount val="8"/>
                <c:pt idx="0">
                  <c:v>6</c:v>
                </c:pt>
                <c:pt idx="1">
                  <c:v>6</c:v>
                </c:pt>
                <c:pt idx="2">
                  <c:v>6</c:v>
                </c:pt>
                <c:pt idx="3">
                  <c:v>12</c:v>
                </c:pt>
                <c:pt idx="4">
                  <c:v>14</c:v>
                </c:pt>
                <c:pt idx="5">
                  <c:v>46</c:v>
                </c:pt>
                <c:pt idx="6">
                  <c:v>89</c:v>
                </c:pt>
                <c:pt idx="7">
                  <c:v>252</c:v>
                </c:pt>
              </c:numCache>
            </c:numRef>
          </c:val>
          <c:extLst>
            <c:ext xmlns:c16="http://schemas.microsoft.com/office/drawing/2014/chart" uri="{C3380CC4-5D6E-409C-BE32-E72D297353CC}">
              <c16:uniqueId val="{00000000-EE95-4DC7-985D-B6F6F0397265}"/>
            </c:ext>
          </c:extLst>
        </c:ser>
        <c:dLbls>
          <c:showLegendKey val="0"/>
          <c:showVal val="0"/>
          <c:showCatName val="0"/>
          <c:showSerName val="0"/>
          <c:showPercent val="0"/>
          <c:showBubbleSize val="0"/>
        </c:dLbls>
        <c:gapWidth val="182"/>
        <c:axId val="210038560"/>
        <c:axId val="450443920"/>
      </c:barChart>
      <c:catAx>
        <c:axId val="210038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450443920"/>
        <c:crosses val="autoZero"/>
        <c:auto val="1"/>
        <c:lblAlgn val="ctr"/>
        <c:lblOffset val="100"/>
        <c:noMultiLvlLbl val="0"/>
      </c:catAx>
      <c:valAx>
        <c:axId val="450443920"/>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210038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Hospital dasboard project.xlsx]Pivot Report!PivotTable6</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088271089018891E-2"/>
          <c:y val="0.14215023640179689"/>
          <c:w val="0.78818027023856652"/>
          <c:h val="0.63891790080644062"/>
        </c:manualLayout>
      </c:layout>
      <c:areaChart>
        <c:grouping val="standard"/>
        <c:varyColors val="0"/>
        <c:ser>
          <c:idx val="0"/>
          <c:order val="0"/>
          <c:tx>
            <c:strRef>
              <c:f>'Pivot Report'!$P$3</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Report'!$O$4:$O$32</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Report'!$P$4:$P$32</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0-DD48-4734-B325-F38886814D5C}"/>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893311615"/>
        <c:axId val="450452560"/>
      </c:areaChart>
      <c:catAx>
        <c:axId val="189331161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450452560"/>
        <c:crosses val="autoZero"/>
        <c:auto val="1"/>
        <c:lblAlgn val="ctr"/>
        <c:lblOffset val="100"/>
        <c:noMultiLvlLbl val="0"/>
      </c:catAx>
      <c:valAx>
        <c:axId val="45045256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33116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Hospital dasboard project.xlsx]Pivot Report!PivotTable5</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39827631570502"/>
          <c:y val="0.19618243371752447"/>
          <c:w val="0.72547463886696295"/>
          <c:h val="0.58392255315911601"/>
        </c:manualLayout>
      </c:layout>
      <c:areaChart>
        <c:grouping val="standard"/>
        <c:varyColors val="0"/>
        <c:ser>
          <c:idx val="0"/>
          <c:order val="0"/>
          <c:tx>
            <c:strRef>
              <c:f>'Pivot Report'!$L$3</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Report'!$K$4:$K$33</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Report'!$L$4:$L$33</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948E-488B-96A1-2D49EC53108D}"/>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210045056"/>
        <c:axId val="450441040"/>
      </c:areaChart>
      <c:catAx>
        <c:axId val="21004505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450441040"/>
        <c:crosses val="autoZero"/>
        <c:auto val="1"/>
        <c:lblAlgn val="ctr"/>
        <c:lblOffset val="100"/>
        <c:noMultiLvlLbl val="0"/>
      </c:catAx>
      <c:valAx>
        <c:axId val="45044104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00450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Hospital dasboard project.xlsx]Pivot Report!PivotTable4</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88315740718169"/>
          <c:y val="0.12284895417808457"/>
          <c:w val="0.71843356654721569"/>
          <c:h val="0.58856128666736052"/>
        </c:manualLayout>
      </c:layout>
      <c:areaChart>
        <c:grouping val="standard"/>
        <c:varyColors val="0"/>
        <c:ser>
          <c:idx val="0"/>
          <c:order val="0"/>
          <c:tx>
            <c:strRef>
              <c:f>'Pivot Report'!$I$3</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Report'!$H$4:$H$33</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Report'!$I$4:$I$33</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0-1E52-4838-BC4A-253CBC86CDBA}"/>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893055343"/>
        <c:axId val="450428560"/>
      </c:areaChart>
      <c:catAx>
        <c:axId val="189305534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450428560"/>
        <c:crosses val="autoZero"/>
        <c:auto val="1"/>
        <c:lblAlgn val="ctr"/>
        <c:lblOffset val="100"/>
        <c:noMultiLvlLbl val="0"/>
      </c:catAx>
      <c:valAx>
        <c:axId val="45042856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30553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15240</xdr:colOff>
      <xdr:row>51</xdr:row>
      <xdr:rowOff>7192</xdr:rowOff>
    </xdr:from>
    <xdr:to>
      <xdr:col>4</xdr:col>
      <xdr:colOff>14288</xdr:colOff>
      <xdr:row>52</xdr:row>
      <xdr:rowOff>167191</xdr:rowOff>
    </xdr:to>
    <xdr:graphicFrame macro="">
      <xdr:nvGraphicFramePr>
        <xdr:cNvPr id="7" name="Chart 6">
          <a:extLst>
            <a:ext uri="{FF2B5EF4-FFF2-40B4-BE49-F238E27FC236}">
              <a16:creationId xmlns:a16="http://schemas.microsoft.com/office/drawing/2014/main" id="{EE00813E-4F53-C50C-3100-7501953DC5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61630</xdr:colOff>
      <xdr:row>0</xdr:row>
      <xdr:rowOff>87854</xdr:rowOff>
    </xdr:from>
    <xdr:to>
      <xdr:col>6</xdr:col>
      <xdr:colOff>168087</xdr:colOff>
      <xdr:row>4</xdr:row>
      <xdr:rowOff>49754</xdr:rowOff>
    </xdr:to>
    <xdr:sp macro="" textlink="">
      <xdr:nvSpPr>
        <xdr:cNvPr id="2" name="Rectangle: Rounded Corners 1">
          <a:extLst>
            <a:ext uri="{FF2B5EF4-FFF2-40B4-BE49-F238E27FC236}">
              <a16:creationId xmlns:a16="http://schemas.microsoft.com/office/drawing/2014/main" id="{763298F2-3A71-7628-70E1-79CF385DBE79}"/>
            </a:ext>
          </a:extLst>
        </xdr:cNvPr>
        <xdr:cNvSpPr/>
      </xdr:nvSpPr>
      <xdr:spPr>
        <a:xfrm flipH="1">
          <a:off x="61630" y="87854"/>
          <a:ext cx="3770781" cy="701488"/>
        </a:xfrm>
        <a:prstGeom prst="roundRect">
          <a:avLst>
            <a:gd name="adj" fmla="val 1267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102644</xdr:colOff>
      <xdr:row>4</xdr:row>
      <xdr:rowOff>117662</xdr:rowOff>
    </xdr:from>
    <xdr:to>
      <xdr:col>1</xdr:col>
      <xdr:colOff>223443</xdr:colOff>
      <xdr:row>17</xdr:row>
      <xdr:rowOff>0</xdr:rowOff>
    </xdr:to>
    <xdr:sp macro="" textlink="">
      <xdr:nvSpPr>
        <xdr:cNvPr id="3" name="Rectangle: Rounded Corners 2">
          <a:extLst>
            <a:ext uri="{FF2B5EF4-FFF2-40B4-BE49-F238E27FC236}">
              <a16:creationId xmlns:a16="http://schemas.microsoft.com/office/drawing/2014/main" id="{1BC92B05-3A13-3851-429D-1028FD1333C3}"/>
            </a:ext>
          </a:extLst>
        </xdr:cNvPr>
        <xdr:cNvSpPr/>
      </xdr:nvSpPr>
      <xdr:spPr>
        <a:xfrm flipH="1">
          <a:off x="102644" y="857250"/>
          <a:ext cx="731520" cy="2286000"/>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270061</xdr:colOff>
      <xdr:row>4</xdr:row>
      <xdr:rowOff>83372</xdr:rowOff>
    </xdr:from>
    <xdr:to>
      <xdr:col>3</xdr:col>
      <xdr:colOff>403412</xdr:colOff>
      <xdr:row>8</xdr:row>
      <xdr:rowOff>128868</xdr:rowOff>
    </xdr:to>
    <xdr:sp macro="" textlink="">
      <xdr:nvSpPr>
        <xdr:cNvPr id="4" name="Rectangle: Rounded Corners 3">
          <a:extLst>
            <a:ext uri="{FF2B5EF4-FFF2-40B4-BE49-F238E27FC236}">
              <a16:creationId xmlns:a16="http://schemas.microsoft.com/office/drawing/2014/main" id="{FB78C494-F4C0-C8C9-FE69-8033D662D149}"/>
            </a:ext>
          </a:extLst>
        </xdr:cNvPr>
        <xdr:cNvSpPr/>
      </xdr:nvSpPr>
      <xdr:spPr>
        <a:xfrm flipH="1">
          <a:off x="880782" y="822960"/>
          <a:ext cx="1354792" cy="785084"/>
        </a:xfrm>
        <a:prstGeom prst="roundRect">
          <a:avLst>
            <a:gd name="adj" fmla="val 1053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467284</xdr:colOff>
      <xdr:row>4</xdr:row>
      <xdr:rowOff>84494</xdr:rowOff>
    </xdr:from>
    <xdr:to>
      <xdr:col>5</xdr:col>
      <xdr:colOff>600635</xdr:colOff>
      <xdr:row>8</xdr:row>
      <xdr:rowOff>131290</xdr:rowOff>
    </xdr:to>
    <xdr:sp macro="" textlink="">
      <xdr:nvSpPr>
        <xdr:cNvPr id="5" name="Rectangle: Rounded Corners 4">
          <a:extLst>
            <a:ext uri="{FF2B5EF4-FFF2-40B4-BE49-F238E27FC236}">
              <a16:creationId xmlns:a16="http://schemas.microsoft.com/office/drawing/2014/main" id="{8EE494E4-5B73-4BD4-3CFA-717E40471E3C}"/>
            </a:ext>
          </a:extLst>
        </xdr:cNvPr>
        <xdr:cNvSpPr/>
      </xdr:nvSpPr>
      <xdr:spPr>
        <a:xfrm flipH="1">
          <a:off x="2299446" y="824082"/>
          <a:ext cx="1354792" cy="786384"/>
        </a:xfrm>
        <a:prstGeom prst="roundRect">
          <a:avLst>
            <a:gd name="adj" fmla="val 1267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36981</xdr:colOff>
      <xdr:row>4</xdr:row>
      <xdr:rowOff>72837</xdr:rowOff>
    </xdr:from>
    <xdr:to>
      <xdr:col>8</xdr:col>
      <xdr:colOff>190500</xdr:colOff>
      <xdr:row>8</xdr:row>
      <xdr:rowOff>145676</xdr:rowOff>
    </xdr:to>
    <xdr:sp macro="" textlink="">
      <xdr:nvSpPr>
        <xdr:cNvPr id="6" name="Rectangle: Rounded Corners 5">
          <a:extLst>
            <a:ext uri="{FF2B5EF4-FFF2-40B4-BE49-F238E27FC236}">
              <a16:creationId xmlns:a16="http://schemas.microsoft.com/office/drawing/2014/main" id="{C871F4B1-CACC-3A2F-1652-9F35D9D2FB10}"/>
            </a:ext>
          </a:extLst>
        </xdr:cNvPr>
        <xdr:cNvSpPr/>
      </xdr:nvSpPr>
      <xdr:spPr>
        <a:xfrm flipH="1">
          <a:off x="3701305" y="812425"/>
          <a:ext cx="1374960" cy="812427"/>
        </a:xfrm>
        <a:prstGeom prst="roundRect">
          <a:avLst>
            <a:gd name="adj" fmla="val 1267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207308</xdr:colOff>
      <xdr:row>0</xdr:row>
      <xdr:rowOff>83372</xdr:rowOff>
    </xdr:from>
    <xdr:to>
      <xdr:col>8</xdr:col>
      <xdr:colOff>224117</xdr:colOff>
      <xdr:row>4</xdr:row>
      <xdr:rowOff>45272</xdr:rowOff>
    </xdr:to>
    <xdr:sp macro="" textlink="">
      <xdr:nvSpPr>
        <xdr:cNvPr id="7" name="Rectangle: Rounded Corners 6">
          <a:extLst>
            <a:ext uri="{FF2B5EF4-FFF2-40B4-BE49-F238E27FC236}">
              <a16:creationId xmlns:a16="http://schemas.microsoft.com/office/drawing/2014/main" id="{F088145E-AE8E-C4BE-BF5A-DB7E7DACE3CA}"/>
            </a:ext>
          </a:extLst>
        </xdr:cNvPr>
        <xdr:cNvSpPr/>
      </xdr:nvSpPr>
      <xdr:spPr>
        <a:xfrm flipH="1">
          <a:off x="3871632" y="83372"/>
          <a:ext cx="1238250" cy="701488"/>
        </a:xfrm>
        <a:prstGeom prst="roundRect">
          <a:avLst>
            <a:gd name="adj" fmla="val 1267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257733</xdr:colOff>
      <xdr:row>8</xdr:row>
      <xdr:rowOff>173020</xdr:rowOff>
    </xdr:from>
    <xdr:to>
      <xdr:col>8</xdr:col>
      <xdr:colOff>235322</xdr:colOff>
      <xdr:row>11</xdr:row>
      <xdr:rowOff>140074</xdr:rowOff>
    </xdr:to>
    <xdr:sp macro="" textlink="">
      <xdr:nvSpPr>
        <xdr:cNvPr id="8" name="Rectangle: Rounded Corners 7">
          <a:extLst>
            <a:ext uri="{FF2B5EF4-FFF2-40B4-BE49-F238E27FC236}">
              <a16:creationId xmlns:a16="http://schemas.microsoft.com/office/drawing/2014/main" id="{434EE239-6490-1F8E-EDF9-1D6F55CA932E}"/>
            </a:ext>
          </a:extLst>
        </xdr:cNvPr>
        <xdr:cNvSpPr/>
      </xdr:nvSpPr>
      <xdr:spPr>
        <a:xfrm flipH="1">
          <a:off x="868454" y="1652196"/>
          <a:ext cx="4252633" cy="521746"/>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246529</xdr:colOff>
      <xdr:row>11</xdr:row>
      <xdr:rowOff>173692</xdr:rowOff>
    </xdr:from>
    <xdr:to>
      <xdr:col>8</xdr:col>
      <xdr:colOff>268941</xdr:colOff>
      <xdr:row>17</xdr:row>
      <xdr:rowOff>1</xdr:rowOff>
    </xdr:to>
    <xdr:sp macro="" textlink="">
      <xdr:nvSpPr>
        <xdr:cNvPr id="9" name="Rectangle: Rounded Corners 8">
          <a:extLst>
            <a:ext uri="{FF2B5EF4-FFF2-40B4-BE49-F238E27FC236}">
              <a16:creationId xmlns:a16="http://schemas.microsoft.com/office/drawing/2014/main" id="{9F8C6007-20A2-BC54-AD79-CE4BDA66017F}"/>
            </a:ext>
          </a:extLst>
        </xdr:cNvPr>
        <xdr:cNvSpPr/>
      </xdr:nvSpPr>
      <xdr:spPr>
        <a:xfrm flipH="1">
          <a:off x="857250" y="2207560"/>
          <a:ext cx="4297456" cy="935691"/>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123264</xdr:colOff>
      <xdr:row>0</xdr:row>
      <xdr:rowOff>168088</xdr:rowOff>
    </xdr:from>
    <xdr:to>
      <xdr:col>5</xdr:col>
      <xdr:colOff>565897</xdr:colOff>
      <xdr:row>3</xdr:row>
      <xdr:rowOff>5602</xdr:rowOff>
    </xdr:to>
    <xdr:sp macro="" textlink="">
      <xdr:nvSpPr>
        <xdr:cNvPr id="10" name="TextBox 9">
          <a:extLst>
            <a:ext uri="{FF2B5EF4-FFF2-40B4-BE49-F238E27FC236}">
              <a16:creationId xmlns:a16="http://schemas.microsoft.com/office/drawing/2014/main" id="{827D3251-9335-B76D-07CB-E2FB96EA1E9C}"/>
            </a:ext>
          </a:extLst>
        </xdr:cNvPr>
        <xdr:cNvSpPr txBox="1"/>
      </xdr:nvSpPr>
      <xdr:spPr>
        <a:xfrm>
          <a:off x="733985" y="168088"/>
          <a:ext cx="2885515" cy="392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IN" sz="1100" b="1"/>
            <a:t>           Hospital</a:t>
          </a:r>
          <a:r>
            <a:rPr lang="en-IN" sz="1100" b="1" baseline="0"/>
            <a:t> Emergency Room Dashboard</a:t>
          </a:r>
          <a:endParaRPr lang="en-IN" sz="1100" b="1"/>
        </a:p>
      </xdr:txBody>
    </xdr:sp>
    <xdr:clientData/>
  </xdr:twoCellAnchor>
  <xdr:twoCellAnchor editAs="absolute">
    <xdr:from>
      <xdr:col>2</xdr:col>
      <xdr:colOff>308161</xdr:colOff>
      <xdr:row>2</xdr:row>
      <xdr:rowOff>151279</xdr:rowOff>
    </xdr:from>
    <xdr:to>
      <xdr:col>4</xdr:col>
      <xdr:colOff>123265</xdr:colOff>
      <xdr:row>3</xdr:row>
      <xdr:rowOff>152399</xdr:rowOff>
    </xdr:to>
    <xdr:sp macro="" textlink="">
      <xdr:nvSpPr>
        <xdr:cNvPr id="11" name="TextBox 10">
          <a:extLst>
            <a:ext uri="{FF2B5EF4-FFF2-40B4-BE49-F238E27FC236}">
              <a16:creationId xmlns:a16="http://schemas.microsoft.com/office/drawing/2014/main" id="{12B86EEB-E242-5C42-4068-6BA70CEB0A35}"/>
            </a:ext>
          </a:extLst>
        </xdr:cNvPr>
        <xdr:cNvSpPr txBox="1"/>
      </xdr:nvSpPr>
      <xdr:spPr>
        <a:xfrm>
          <a:off x="1529602" y="521073"/>
          <a:ext cx="1036545" cy="186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IN" sz="1000" b="1" baseline="0"/>
            <a:t>        Monthly Report</a:t>
          </a:r>
          <a:endParaRPr lang="en-IN" sz="1000" b="1"/>
        </a:p>
      </xdr:txBody>
    </xdr:sp>
    <xdr:clientData/>
  </xdr:twoCellAnchor>
  <xdr:twoCellAnchor editAs="oneCell">
    <xdr:from>
      <xdr:col>0</xdr:col>
      <xdr:colOff>11207</xdr:colOff>
      <xdr:row>0</xdr:row>
      <xdr:rowOff>140073</xdr:rowOff>
    </xdr:from>
    <xdr:to>
      <xdr:col>1</xdr:col>
      <xdr:colOff>282388</xdr:colOff>
      <xdr:row>4</xdr:row>
      <xdr:rowOff>56030</xdr:rowOff>
    </xdr:to>
    <xdr:pic>
      <xdr:nvPicPr>
        <xdr:cNvPr id="13" name="Picture 12">
          <a:extLst>
            <a:ext uri="{FF2B5EF4-FFF2-40B4-BE49-F238E27FC236}">
              <a16:creationId xmlns:a16="http://schemas.microsoft.com/office/drawing/2014/main" id="{B62B20D9-EA10-E744-C227-CE1A349C7FB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43" t="1440" r="11179" b="14387"/>
        <a:stretch>
          <a:fillRect/>
        </a:stretch>
      </xdr:blipFill>
      <xdr:spPr>
        <a:xfrm>
          <a:off x="11207" y="140073"/>
          <a:ext cx="880781" cy="651063"/>
        </a:xfrm>
        <a:prstGeom prst="rect">
          <a:avLst/>
        </a:prstGeom>
      </xdr:spPr>
    </xdr:pic>
    <xdr:clientData/>
  </xdr:twoCellAnchor>
  <xdr:twoCellAnchor editAs="absolute">
    <xdr:from>
      <xdr:col>1</xdr:col>
      <xdr:colOff>280148</xdr:colOff>
      <xdr:row>5</xdr:row>
      <xdr:rowOff>106456</xdr:rowOff>
    </xdr:from>
    <xdr:to>
      <xdr:col>3</xdr:col>
      <xdr:colOff>409014</xdr:colOff>
      <xdr:row>6</xdr:row>
      <xdr:rowOff>100854</xdr:rowOff>
    </xdr:to>
    <xdr:sp macro="" textlink="'Pivot Report'!A4">
      <xdr:nvSpPr>
        <xdr:cNvPr id="14" name="TextBox 13">
          <a:extLst>
            <a:ext uri="{FF2B5EF4-FFF2-40B4-BE49-F238E27FC236}">
              <a16:creationId xmlns:a16="http://schemas.microsoft.com/office/drawing/2014/main" id="{BCD789DA-0E2E-8E5E-FE3B-2F0D36990BAA}"/>
            </a:ext>
          </a:extLst>
        </xdr:cNvPr>
        <xdr:cNvSpPr txBox="1"/>
      </xdr:nvSpPr>
      <xdr:spPr>
        <a:xfrm>
          <a:off x="890869" y="1030941"/>
          <a:ext cx="1350307" cy="179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US" sz="1100" b="0" i="0" u="none" strike="noStrike" baseline="0">
              <a:solidFill>
                <a:srgbClr val="000000"/>
              </a:solidFill>
              <a:latin typeface="Aptos Narrow"/>
            </a:rPr>
            <a:t>                  </a:t>
          </a:r>
          <a:fld id="{AC0AFAC6-29BD-4AA5-AC8D-A8720889F17A}" type="TxLink">
            <a:rPr lang="en-US" sz="800" b="0" i="0" u="none" strike="noStrike" baseline="0">
              <a:solidFill>
                <a:srgbClr val="000000"/>
              </a:solidFill>
              <a:latin typeface="Aptos Narrow"/>
            </a:rPr>
            <a:t>431</a:t>
          </a:fld>
          <a:endParaRPr lang="en-IN" sz="800" b="1"/>
        </a:p>
      </xdr:txBody>
    </xdr:sp>
    <xdr:clientData/>
  </xdr:twoCellAnchor>
  <xdr:twoCellAnchor editAs="absolute">
    <xdr:from>
      <xdr:col>1</xdr:col>
      <xdr:colOff>247650</xdr:colOff>
      <xdr:row>6</xdr:row>
      <xdr:rowOff>67235</xdr:rowOff>
    </xdr:from>
    <xdr:to>
      <xdr:col>3</xdr:col>
      <xdr:colOff>403411</xdr:colOff>
      <xdr:row>7</xdr:row>
      <xdr:rowOff>51547</xdr:rowOff>
    </xdr:to>
    <xdr:sp macro="" textlink="">
      <xdr:nvSpPr>
        <xdr:cNvPr id="15" name="TextBox 14">
          <a:extLst>
            <a:ext uri="{FF2B5EF4-FFF2-40B4-BE49-F238E27FC236}">
              <a16:creationId xmlns:a16="http://schemas.microsoft.com/office/drawing/2014/main" id="{0B7FD9DF-0DDA-8A40-C2B0-A02916CF96F8}"/>
            </a:ext>
          </a:extLst>
        </xdr:cNvPr>
        <xdr:cNvSpPr txBox="1"/>
      </xdr:nvSpPr>
      <xdr:spPr>
        <a:xfrm>
          <a:off x="858371" y="1176617"/>
          <a:ext cx="1377202" cy="169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IN" sz="1000" b="1"/>
            <a:t>              </a:t>
          </a:r>
          <a:r>
            <a:rPr lang="en-IN" sz="800" b="0"/>
            <a:t>No.of</a:t>
          </a:r>
          <a:r>
            <a:rPr lang="en-IN" sz="800" b="0" baseline="0"/>
            <a:t> Patient</a:t>
          </a:r>
          <a:endParaRPr lang="en-IN" sz="800" b="0"/>
        </a:p>
      </xdr:txBody>
    </xdr:sp>
    <xdr:clientData/>
  </xdr:twoCellAnchor>
  <xdr:twoCellAnchor editAs="absolute">
    <xdr:from>
      <xdr:col>3</xdr:col>
      <xdr:colOff>488576</xdr:colOff>
      <xdr:row>5</xdr:row>
      <xdr:rowOff>85165</xdr:rowOff>
    </xdr:from>
    <xdr:to>
      <xdr:col>5</xdr:col>
      <xdr:colOff>572620</xdr:colOff>
      <xdr:row>6</xdr:row>
      <xdr:rowOff>68356</xdr:rowOff>
    </xdr:to>
    <xdr:sp macro="" textlink="'Pivot Report'!A9">
      <xdr:nvSpPr>
        <xdr:cNvPr id="16" name="TextBox 15">
          <a:extLst>
            <a:ext uri="{FF2B5EF4-FFF2-40B4-BE49-F238E27FC236}">
              <a16:creationId xmlns:a16="http://schemas.microsoft.com/office/drawing/2014/main" id="{1D5226D5-D509-1E4C-328C-3DDA506D0253}"/>
            </a:ext>
          </a:extLst>
        </xdr:cNvPr>
        <xdr:cNvSpPr txBox="1"/>
      </xdr:nvSpPr>
      <xdr:spPr>
        <a:xfrm>
          <a:off x="2320738" y="1009650"/>
          <a:ext cx="1305485" cy="168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US" sz="1100" b="0" i="0" u="none" strike="noStrike" baseline="0">
              <a:solidFill>
                <a:srgbClr val="000000"/>
              </a:solidFill>
              <a:latin typeface="Aptos Narrow"/>
            </a:rPr>
            <a:t>                  </a:t>
          </a:r>
          <a:fld id="{CA063874-B825-4399-8895-EF40D1629018}" type="TxLink">
            <a:rPr lang="en-US" sz="900" b="0" i="0" u="none" strike="noStrike" baseline="0">
              <a:solidFill>
                <a:srgbClr val="000000"/>
              </a:solidFill>
              <a:latin typeface="Aptos Narrow"/>
            </a:rPr>
            <a:t>36.67</a:t>
          </a:fld>
          <a:endParaRPr lang="en-IN" sz="900" b="1"/>
        </a:p>
      </xdr:txBody>
    </xdr:sp>
    <xdr:clientData/>
  </xdr:twoCellAnchor>
  <xdr:twoCellAnchor editAs="absolute">
    <xdr:from>
      <xdr:col>3</xdr:col>
      <xdr:colOff>456080</xdr:colOff>
      <xdr:row>6</xdr:row>
      <xdr:rowOff>57152</xdr:rowOff>
    </xdr:from>
    <xdr:to>
      <xdr:col>6</xdr:col>
      <xdr:colOff>1120</xdr:colOff>
      <xdr:row>7</xdr:row>
      <xdr:rowOff>41464</xdr:rowOff>
    </xdr:to>
    <xdr:sp macro="" textlink="">
      <xdr:nvSpPr>
        <xdr:cNvPr id="17" name="TextBox 16">
          <a:extLst>
            <a:ext uri="{FF2B5EF4-FFF2-40B4-BE49-F238E27FC236}">
              <a16:creationId xmlns:a16="http://schemas.microsoft.com/office/drawing/2014/main" id="{55B61206-EF98-68FD-A441-18931FD63576}"/>
            </a:ext>
          </a:extLst>
        </xdr:cNvPr>
        <xdr:cNvSpPr txBox="1"/>
      </xdr:nvSpPr>
      <xdr:spPr>
        <a:xfrm>
          <a:off x="2288242" y="1166534"/>
          <a:ext cx="1377202" cy="169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IN" sz="1000" b="1"/>
            <a:t>              </a:t>
          </a:r>
          <a:r>
            <a:rPr lang="en-IN" sz="800" b="0"/>
            <a:t>Avg.Wait</a:t>
          </a:r>
          <a:r>
            <a:rPr lang="en-IN" sz="800" b="0" baseline="0"/>
            <a:t> Time (Min)</a:t>
          </a:r>
          <a:endParaRPr lang="en-IN" sz="800" b="0"/>
        </a:p>
      </xdr:txBody>
    </xdr:sp>
    <xdr:clientData/>
  </xdr:twoCellAnchor>
  <xdr:twoCellAnchor editAs="absolute">
    <xdr:from>
      <xdr:col>6</xdr:col>
      <xdr:colOff>56028</xdr:colOff>
      <xdr:row>5</xdr:row>
      <xdr:rowOff>117662</xdr:rowOff>
    </xdr:from>
    <xdr:to>
      <xdr:col>8</xdr:col>
      <xdr:colOff>252131</xdr:colOff>
      <xdr:row>6</xdr:row>
      <xdr:rowOff>67236</xdr:rowOff>
    </xdr:to>
    <xdr:sp macro="" textlink="'Pivot Report'!A14">
      <xdr:nvSpPr>
        <xdr:cNvPr id="18" name="TextBox 17">
          <a:extLst>
            <a:ext uri="{FF2B5EF4-FFF2-40B4-BE49-F238E27FC236}">
              <a16:creationId xmlns:a16="http://schemas.microsoft.com/office/drawing/2014/main" id="{68CF9424-5D72-C573-7F37-DD9B791BCC0F}"/>
            </a:ext>
          </a:extLst>
        </xdr:cNvPr>
        <xdr:cNvSpPr txBox="1"/>
      </xdr:nvSpPr>
      <xdr:spPr>
        <a:xfrm>
          <a:off x="3720352" y="1042147"/>
          <a:ext cx="1417544" cy="134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US" sz="1100" b="0" i="0" u="none" strike="noStrike" baseline="0">
              <a:solidFill>
                <a:srgbClr val="000000"/>
              </a:solidFill>
              <a:latin typeface="Aptos Narrow"/>
            </a:rPr>
            <a:t>                     </a:t>
          </a:r>
          <a:fld id="{F5245C34-962D-4033-944D-B78FDAE007FA}" type="TxLink">
            <a:rPr lang="en-US" sz="900" b="0" i="0" u="none" strike="noStrike" baseline="0">
              <a:solidFill>
                <a:srgbClr val="000000"/>
              </a:solidFill>
              <a:latin typeface="Aptos Narrow"/>
            </a:rPr>
            <a:t>4.72</a:t>
          </a:fld>
          <a:endParaRPr lang="en-IN" sz="900" b="1"/>
        </a:p>
      </xdr:txBody>
    </xdr:sp>
    <xdr:clientData/>
  </xdr:twoCellAnchor>
  <xdr:twoCellAnchor editAs="absolute">
    <xdr:from>
      <xdr:col>6</xdr:col>
      <xdr:colOff>84045</xdr:colOff>
      <xdr:row>6</xdr:row>
      <xdr:rowOff>67237</xdr:rowOff>
    </xdr:from>
    <xdr:to>
      <xdr:col>8</xdr:col>
      <xdr:colOff>235324</xdr:colOff>
      <xdr:row>7</xdr:row>
      <xdr:rowOff>39222</xdr:rowOff>
    </xdr:to>
    <xdr:sp macro="" textlink="">
      <xdr:nvSpPr>
        <xdr:cNvPr id="19" name="TextBox 18">
          <a:extLst>
            <a:ext uri="{FF2B5EF4-FFF2-40B4-BE49-F238E27FC236}">
              <a16:creationId xmlns:a16="http://schemas.microsoft.com/office/drawing/2014/main" id="{568F2D80-8848-91FF-4C47-10AA9E5C87F1}"/>
            </a:ext>
          </a:extLst>
        </xdr:cNvPr>
        <xdr:cNvSpPr txBox="1"/>
      </xdr:nvSpPr>
      <xdr:spPr>
        <a:xfrm>
          <a:off x="3748369" y="1176619"/>
          <a:ext cx="1372720" cy="156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IN" sz="1000" b="0"/>
            <a:t>   </a:t>
          </a:r>
          <a:r>
            <a:rPr lang="en-IN" sz="800" b="0"/>
            <a:t>Patient</a:t>
          </a:r>
          <a:r>
            <a:rPr lang="en-IN" sz="800" b="0" baseline="0"/>
            <a:t> Satisfaction SCORE</a:t>
          </a:r>
          <a:endParaRPr lang="en-IN" sz="800" b="0"/>
        </a:p>
      </xdr:txBody>
    </xdr:sp>
    <xdr:clientData/>
  </xdr:twoCellAnchor>
  <xdr:twoCellAnchor editAs="oneCell">
    <xdr:from>
      <xdr:col>3</xdr:col>
      <xdr:colOff>112058</xdr:colOff>
      <xdr:row>4</xdr:row>
      <xdr:rowOff>100853</xdr:rowOff>
    </xdr:from>
    <xdr:to>
      <xdr:col>3</xdr:col>
      <xdr:colOff>404531</xdr:colOff>
      <xdr:row>6</xdr:row>
      <xdr:rowOff>16809</xdr:rowOff>
    </xdr:to>
    <xdr:pic>
      <xdr:nvPicPr>
        <xdr:cNvPr id="21" name="Graphic 20" descr="Male profile with solid fill">
          <a:extLst>
            <a:ext uri="{FF2B5EF4-FFF2-40B4-BE49-F238E27FC236}">
              <a16:creationId xmlns:a16="http://schemas.microsoft.com/office/drawing/2014/main" id="{F638CF16-B379-FDD7-B26D-BF0E05D9D8B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944220" y="840441"/>
          <a:ext cx="292473" cy="285750"/>
        </a:xfrm>
        <a:prstGeom prst="rect">
          <a:avLst/>
        </a:prstGeom>
      </xdr:spPr>
    </xdr:pic>
    <xdr:clientData/>
  </xdr:twoCellAnchor>
  <xdr:twoCellAnchor editAs="oneCell">
    <xdr:from>
      <xdr:col>5</xdr:col>
      <xdr:colOff>347382</xdr:colOff>
      <xdr:row>4</xdr:row>
      <xdr:rowOff>100853</xdr:rowOff>
    </xdr:from>
    <xdr:to>
      <xdr:col>5</xdr:col>
      <xdr:colOff>589429</xdr:colOff>
      <xdr:row>5</xdr:row>
      <xdr:rowOff>158003</xdr:rowOff>
    </xdr:to>
    <xdr:pic>
      <xdr:nvPicPr>
        <xdr:cNvPr id="27" name="Graphic 26" descr="Hourglass Finished with solid fill">
          <a:extLst>
            <a:ext uri="{FF2B5EF4-FFF2-40B4-BE49-F238E27FC236}">
              <a16:creationId xmlns:a16="http://schemas.microsoft.com/office/drawing/2014/main" id="{EB661C93-C798-6A13-D30B-D5EED198CB9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400985" y="840441"/>
          <a:ext cx="242047" cy="242047"/>
        </a:xfrm>
        <a:prstGeom prst="rect">
          <a:avLst/>
        </a:prstGeom>
      </xdr:spPr>
    </xdr:pic>
    <xdr:clientData/>
  </xdr:twoCellAnchor>
  <xdr:twoCellAnchor editAs="oneCell">
    <xdr:from>
      <xdr:col>7</xdr:col>
      <xdr:colOff>526676</xdr:colOff>
      <xdr:row>4</xdr:row>
      <xdr:rowOff>89646</xdr:rowOff>
    </xdr:from>
    <xdr:to>
      <xdr:col>8</xdr:col>
      <xdr:colOff>201705</xdr:colOff>
      <xdr:row>5</xdr:row>
      <xdr:rowOff>151279</xdr:rowOff>
    </xdr:to>
    <xdr:pic>
      <xdr:nvPicPr>
        <xdr:cNvPr id="29" name="Graphic 28" descr="Speech with solid fill">
          <a:extLst>
            <a:ext uri="{FF2B5EF4-FFF2-40B4-BE49-F238E27FC236}">
              <a16:creationId xmlns:a16="http://schemas.microsoft.com/office/drawing/2014/main" id="{98A2D2C0-AD46-83BF-98E9-C83AF77E621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01720" y="829234"/>
          <a:ext cx="285750" cy="246530"/>
        </a:xfrm>
        <a:prstGeom prst="rect">
          <a:avLst/>
        </a:prstGeom>
      </xdr:spPr>
    </xdr:pic>
    <xdr:clientData/>
  </xdr:twoCellAnchor>
  <xdr:twoCellAnchor editAs="oneCell">
    <xdr:from>
      <xdr:col>0</xdr:col>
      <xdr:colOff>106455</xdr:colOff>
      <xdr:row>4</xdr:row>
      <xdr:rowOff>112060</xdr:rowOff>
    </xdr:from>
    <xdr:to>
      <xdr:col>1</xdr:col>
      <xdr:colOff>227254</xdr:colOff>
      <xdr:row>16</xdr:row>
      <xdr:rowOff>179295</xdr:rowOff>
    </xdr:to>
    <mc:AlternateContent xmlns:mc="http://schemas.openxmlformats.org/markup-compatibility/2006">
      <mc:Choice xmlns:a14="http://schemas.microsoft.com/office/drawing/2010/main" Requires="a14">
        <xdr:graphicFrame macro="">
          <xdr:nvGraphicFramePr>
            <xdr:cNvPr id="30" name="Date (Month)">
              <a:extLst>
                <a:ext uri="{FF2B5EF4-FFF2-40B4-BE49-F238E27FC236}">
                  <a16:creationId xmlns:a16="http://schemas.microsoft.com/office/drawing/2014/main" id="{A96EE61A-FCA7-4D76-BAC9-0337A7978036}"/>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06455" y="852289"/>
              <a:ext cx="730399" cy="2287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292474</xdr:colOff>
      <xdr:row>0</xdr:row>
      <xdr:rowOff>78889</xdr:rowOff>
    </xdr:from>
    <xdr:to>
      <xdr:col>10</xdr:col>
      <xdr:colOff>342901</xdr:colOff>
      <xdr:row>6</xdr:row>
      <xdr:rowOff>61632</xdr:rowOff>
    </xdr:to>
    <xdr:sp macro="" textlink="">
      <xdr:nvSpPr>
        <xdr:cNvPr id="31" name="Rectangle: Rounded Corners 30">
          <a:extLst>
            <a:ext uri="{FF2B5EF4-FFF2-40B4-BE49-F238E27FC236}">
              <a16:creationId xmlns:a16="http://schemas.microsoft.com/office/drawing/2014/main" id="{68012204-B763-F39F-5835-FA69A5A0D627}"/>
            </a:ext>
          </a:extLst>
        </xdr:cNvPr>
        <xdr:cNvSpPr/>
      </xdr:nvSpPr>
      <xdr:spPr>
        <a:xfrm flipH="1">
          <a:off x="5178239" y="78889"/>
          <a:ext cx="1271868" cy="1092125"/>
        </a:xfrm>
        <a:prstGeom prst="roundRect">
          <a:avLst>
            <a:gd name="adj" fmla="val 1267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373969</xdr:colOff>
      <xdr:row>0</xdr:row>
      <xdr:rowOff>92298</xdr:rowOff>
    </xdr:from>
    <xdr:to>
      <xdr:col>12</xdr:col>
      <xdr:colOff>425785</xdr:colOff>
      <xdr:row>6</xdr:row>
      <xdr:rowOff>72070</xdr:rowOff>
    </xdr:to>
    <xdr:sp macro="" textlink="">
      <xdr:nvSpPr>
        <xdr:cNvPr id="32" name="Rectangle: Rounded Corners 31">
          <a:extLst>
            <a:ext uri="{FF2B5EF4-FFF2-40B4-BE49-F238E27FC236}">
              <a16:creationId xmlns:a16="http://schemas.microsoft.com/office/drawing/2014/main" id="{588407BA-2085-AEB5-2A3F-AB92CD153417}"/>
            </a:ext>
          </a:extLst>
        </xdr:cNvPr>
        <xdr:cNvSpPr/>
      </xdr:nvSpPr>
      <xdr:spPr>
        <a:xfrm flipH="1">
          <a:off x="6469969" y="92298"/>
          <a:ext cx="1271016" cy="1088136"/>
        </a:xfrm>
        <a:prstGeom prst="roundRect">
          <a:avLst>
            <a:gd name="adj" fmla="val 1267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342177</xdr:colOff>
      <xdr:row>6</xdr:row>
      <xdr:rowOff>166888</xdr:rowOff>
    </xdr:from>
    <xdr:to>
      <xdr:col>12</xdr:col>
      <xdr:colOff>468086</xdr:colOff>
      <xdr:row>16</xdr:row>
      <xdr:rowOff>150078</xdr:rowOff>
    </xdr:to>
    <xdr:sp macro="" textlink="">
      <xdr:nvSpPr>
        <xdr:cNvPr id="34" name="Rectangle: Rounded Corners 33">
          <a:extLst>
            <a:ext uri="{FF2B5EF4-FFF2-40B4-BE49-F238E27FC236}">
              <a16:creationId xmlns:a16="http://schemas.microsoft.com/office/drawing/2014/main" id="{357B239D-A148-0E19-49CF-0DB3D3DA5C7B}"/>
            </a:ext>
          </a:extLst>
        </xdr:cNvPr>
        <xdr:cNvSpPr/>
      </xdr:nvSpPr>
      <xdr:spPr>
        <a:xfrm flipH="1">
          <a:off x="5218977" y="1277231"/>
          <a:ext cx="2564309" cy="1833761"/>
        </a:xfrm>
        <a:prstGeom prst="roundRect">
          <a:avLst>
            <a:gd name="adj" fmla="val 441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309282</xdr:colOff>
      <xdr:row>5</xdr:row>
      <xdr:rowOff>179295</xdr:rowOff>
    </xdr:from>
    <xdr:to>
      <xdr:col>3</xdr:col>
      <xdr:colOff>369794</xdr:colOff>
      <xdr:row>8</xdr:row>
      <xdr:rowOff>145678</xdr:rowOff>
    </xdr:to>
    <xdr:graphicFrame macro="">
      <xdr:nvGraphicFramePr>
        <xdr:cNvPr id="36" name="Chart 35">
          <a:hlinkClick xmlns:r="http://schemas.openxmlformats.org/officeDocument/2006/relationships" r:id="rId8"/>
          <a:extLst>
            <a:ext uri="{FF2B5EF4-FFF2-40B4-BE49-F238E27FC236}">
              <a16:creationId xmlns:a16="http://schemas.microsoft.com/office/drawing/2014/main" id="{FF49CF3D-1A2C-296D-BCDD-4B82CECF9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397808</xdr:colOff>
      <xdr:row>6</xdr:row>
      <xdr:rowOff>123266</xdr:rowOff>
    </xdr:from>
    <xdr:to>
      <xdr:col>6</xdr:col>
      <xdr:colOff>84043</xdr:colOff>
      <xdr:row>9</xdr:row>
      <xdr:rowOff>67235</xdr:rowOff>
    </xdr:to>
    <xdr:graphicFrame macro="">
      <xdr:nvGraphicFramePr>
        <xdr:cNvPr id="37" name="Chart 36">
          <a:hlinkClick xmlns:r="http://schemas.openxmlformats.org/officeDocument/2006/relationships" r:id="rId10"/>
          <a:extLst>
            <a:ext uri="{FF2B5EF4-FFF2-40B4-BE49-F238E27FC236}">
              <a16:creationId xmlns:a16="http://schemas.microsoft.com/office/drawing/2014/main" id="{BEE0D4FB-A956-4F57-9D12-B8C177FAEA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106455</xdr:colOff>
      <xdr:row>6</xdr:row>
      <xdr:rowOff>67236</xdr:rowOff>
    </xdr:from>
    <xdr:to>
      <xdr:col>8</xdr:col>
      <xdr:colOff>140073</xdr:colOff>
      <xdr:row>8</xdr:row>
      <xdr:rowOff>156884</xdr:rowOff>
    </xdr:to>
    <xdr:graphicFrame macro="">
      <xdr:nvGraphicFramePr>
        <xdr:cNvPr id="39" name="Chart 38">
          <a:hlinkClick xmlns:r="http://schemas.openxmlformats.org/officeDocument/2006/relationships" r:id="rId12"/>
          <a:extLst>
            <a:ext uri="{FF2B5EF4-FFF2-40B4-BE49-F238E27FC236}">
              <a16:creationId xmlns:a16="http://schemas.microsoft.com/office/drawing/2014/main" id="{70E144D5-3BFC-4198-8260-F90186C4F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274544</xdr:colOff>
          <xdr:row>8</xdr:row>
          <xdr:rowOff>173692</xdr:rowOff>
        </xdr:from>
        <xdr:to>
          <xdr:col>8</xdr:col>
          <xdr:colOff>229719</xdr:colOff>
          <xdr:row>11</xdr:row>
          <xdr:rowOff>134469</xdr:rowOff>
        </xdr:to>
        <xdr:pic>
          <xdr:nvPicPr>
            <xdr:cNvPr id="46" name="Picture 45">
              <a:extLst>
                <a:ext uri="{FF2B5EF4-FFF2-40B4-BE49-F238E27FC236}">
                  <a16:creationId xmlns:a16="http://schemas.microsoft.com/office/drawing/2014/main" id="{FE7009CA-76ED-42AF-6D06-B9272E0B48B7}"/>
                </a:ext>
              </a:extLst>
            </xdr:cNvPr>
            <xdr:cNvPicPr>
              <a:picLocks noChangeAspect="1" noChangeArrowheads="1"/>
              <a:extLst>
                <a:ext uri="{84589F7E-364E-4C9E-8A38-B11213B215E9}">
                  <a14:cameraTool cellRange="'Pivot Report'!$A$51:$D$53" spid="_x0000_s3090"/>
                </a:ext>
              </a:extLst>
            </xdr:cNvPicPr>
          </xdr:nvPicPr>
          <xdr:blipFill>
            <a:blip xmlns:r="http://schemas.openxmlformats.org/officeDocument/2006/relationships" r:embed="rId14"/>
            <a:srcRect/>
            <a:stretch>
              <a:fillRect/>
            </a:stretch>
          </xdr:blipFill>
          <xdr:spPr bwMode="auto">
            <a:xfrm>
              <a:off x="885265" y="1652868"/>
              <a:ext cx="4230219" cy="51546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285751</xdr:colOff>
      <xdr:row>12</xdr:row>
      <xdr:rowOff>5604</xdr:rowOff>
    </xdr:from>
    <xdr:to>
      <xdr:col>8</xdr:col>
      <xdr:colOff>257735</xdr:colOff>
      <xdr:row>16</xdr:row>
      <xdr:rowOff>0</xdr:rowOff>
    </xdr:to>
    <xdr:graphicFrame macro="">
      <xdr:nvGraphicFramePr>
        <xdr:cNvPr id="47" name="Chart 46">
          <a:extLst>
            <a:ext uri="{FF2B5EF4-FFF2-40B4-BE49-F238E27FC236}">
              <a16:creationId xmlns:a16="http://schemas.microsoft.com/office/drawing/2014/main" id="{88AAFED4-0220-4A5F-B8E6-C29896CF84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3</xdr:col>
      <xdr:colOff>303679</xdr:colOff>
      <xdr:row>15</xdr:row>
      <xdr:rowOff>180414</xdr:rowOff>
    </xdr:from>
    <xdr:to>
      <xdr:col>6</xdr:col>
      <xdr:colOff>106455</xdr:colOff>
      <xdr:row>16</xdr:row>
      <xdr:rowOff>181534</xdr:rowOff>
    </xdr:to>
    <xdr:sp macro="" textlink="">
      <xdr:nvSpPr>
        <xdr:cNvPr id="49" name="TextBox 48">
          <a:extLst>
            <a:ext uri="{FF2B5EF4-FFF2-40B4-BE49-F238E27FC236}">
              <a16:creationId xmlns:a16="http://schemas.microsoft.com/office/drawing/2014/main" id="{574EDD92-EBBB-B8C3-F163-DA6D4DDEDB40}"/>
            </a:ext>
          </a:extLst>
        </xdr:cNvPr>
        <xdr:cNvSpPr txBox="1"/>
      </xdr:nvSpPr>
      <xdr:spPr>
        <a:xfrm>
          <a:off x="2135841" y="2953870"/>
          <a:ext cx="1634938" cy="186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IN" sz="1000" b="1" baseline="0"/>
            <a:t>        </a:t>
          </a:r>
          <a:r>
            <a:rPr lang="en-IN" sz="1000" b="0" baseline="0"/>
            <a:t>No.of Patient by Age Group</a:t>
          </a:r>
          <a:endParaRPr lang="en-IN" sz="1000" b="0"/>
        </a:p>
      </xdr:txBody>
    </xdr:sp>
    <xdr:clientData/>
  </xdr:twoCellAnchor>
  <xdr:twoCellAnchor>
    <xdr:from>
      <xdr:col>8</xdr:col>
      <xdr:colOff>223438</xdr:colOff>
      <xdr:row>0</xdr:row>
      <xdr:rowOff>104793</xdr:rowOff>
    </xdr:from>
    <xdr:to>
      <xdr:col>10</xdr:col>
      <xdr:colOff>341101</xdr:colOff>
      <xdr:row>5</xdr:row>
      <xdr:rowOff>87747</xdr:rowOff>
    </xdr:to>
    <xdr:graphicFrame macro="">
      <xdr:nvGraphicFramePr>
        <xdr:cNvPr id="50" name="Chart 49">
          <a:extLst>
            <a:ext uri="{FF2B5EF4-FFF2-40B4-BE49-F238E27FC236}">
              <a16:creationId xmlns:a16="http://schemas.microsoft.com/office/drawing/2014/main" id="{E465A98A-9EC4-4D14-92B5-B9E939A88E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8</xdr:col>
      <xdr:colOff>322014</xdr:colOff>
      <xdr:row>5</xdr:row>
      <xdr:rowOff>63535</xdr:rowOff>
    </xdr:from>
    <xdr:to>
      <xdr:col>10</xdr:col>
      <xdr:colOff>300181</xdr:colOff>
      <xdr:row>6</xdr:row>
      <xdr:rowOff>64654</xdr:rowOff>
    </xdr:to>
    <xdr:sp macro="" textlink="">
      <xdr:nvSpPr>
        <xdr:cNvPr id="51" name="TextBox 50">
          <a:extLst>
            <a:ext uri="{FF2B5EF4-FFF2-40B4-BE49-F238E27FC236}">
              <a16:creationId xmlns:a16="http://schemas.microsoft.com/office/drawing/2014/main" id="{2575099A-FE62-2BBE-DA18-4968C6996653}"/>
            </a:ext>
          </a:extLst>
        </xdr:cNvPr>
        <xdr:cNvSpPr txBox="1"/>
      </xdr:nvSpPr>
      <xdr:spPr>
        <a:xfrm>
          <a:off x="5198814" y="987171"/>
          <a:ext cx="1197367" cy="185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IN" sz="1000" b="0" baseline="0"/>
            <a:t>   Patient Attend Status</a:t>
          </a:r>
          <a:endParaRPr lang="en-IN" sz="1000" b="0"/>
        </a:p>
      </xdr:txBody>
    </xdr:sp>
    <xdr:clientData/>
  </xdr:twoCellAnchor>
  <xdr:twoCellAnchor>
    <xdr:from>
      <xdr:col>10</xdr:col>
      <xdr:colOff>424872</xdr:colOff>
      <xdr:row>0</xdr:row>
      <xdr:rowOff>108926</xdr:rowOff>
    </xdr:from>
    <xdr:to>
      <xdr:col>12</xdr:col>
      <xdr:colOff>392545</xdr:colOff>
      <xdr:row>5</xdr:row>
      <xdr:rowOff>120073</xdr:rowOff>
    </xdr:to>
    <xdr:graphicFrame macro="">
      <xdr:nvGraphicFramePr>
        <xdr:cNvPr id="53" name="Chart 52">
          <a:extLst>
            <a:ext uri="{FF2B5EF4-FFF2-40B4-BE49-F238E27FC236}">
              <a16:creationId xmlns:a16="http://schemas.microsoft.com/office/drawing/2014/main" id="{D8C31EE1-1A01-4F4E-8D1F-D7DFDC3375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10</xdr:col>
      <xdr:colOff>290473</xdr:colOff>
      <xdr:row>5</xdr:row>
      <xdr:rowOff>74839</xdr:rowOff>
    </xdr:from>
    <xdr:to>
      <xdr:col>12</xdr:col>
      <xdr:colOff>551090</xdr:colOff>
      <xdr:row>6</xdr:row>
      <xdr:rowOff>87084</xdr:rowOff>
    </xdr:to>
    <xdr:sp macro="" textlink="">
      <xdr:nvSpPr>
        <xdr:cNvPr id="54" name="TextBox 53">
          <a:extLst>
            <a:ext uri="{FF2B5EF4-FFF2-40B4-BE49-F238E27FC236}">
              <a16:creationId xmlns:a16="http://schemas.microsoft.com/office/drawing/2014/main" id="{6802F276-5322-C9D1-DD98-DFE8F45FE82F}"/>
            </a:ext>
          </a:extLst>
        </xdr:cNvPr>
        <xdr:cNvSpPr txBox="1"/>
      </xdr:nvSpPr>
      <xdr:spPr>
        <a:xfrm>
          <a:off x="6413687" y="993321"/>
          <a:ext cx="1485260" cy="195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IN" sz="1000" b="1" baseline="0"/>
            <a:t>        </a:t>
          </a:r>
          <a:r>
            <a:rPr lang="en-IN" sz="1000" b="0" baseline="0"/>
            <a:t>Gender wise Analysis</a:t>
          </a:r>
          <a:endParaRPr lang="en-IN" sz="1000" b="0"/>
        </a:p>
      </xdr:txBody>
    </xdr:sp>
    <xdr:clientData/>
  </xdr:twoCellAnchor>
  <xdr:twoCellAnchor>
    <xdr:from>
      <xdr:col>8</xdr:col>
      <xdr:colOff>449035</xdr:colOff>
      <xdr:row>6</xdr:row>
      <xdr:rowOff>166888</xdr:rowOff>
    </xdr:from>
    <xdr:to>
      <xdr:col>12</xdr:col>
      <xdr:colOff>502024</xdr:colOff>
      <xdr:row>15</xdr:row>
      <xdr:rowOff>156483</xdr:rowOff>
    </xdr:to>
    <xdr:graphicFrame macro="">
      <xdr:nvGraphicFramePr>
        <xdr:cNvPr id="55" name="Chart 54">
          <a:extLst>
            <a:ext uri="{FF2B5EF4-FFF2-40B4-BE49-F238E27FC236}">
              <a16:creationId xmlns:a16="http://schemas.microsoft.com/office/drawing/2014/main" id="{C97AE4C0-E7F4-4B55-A227-0BACBFBEF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9</xdr:col>
      <xdr:colOff>272708</xdr:colOff>
      <xdr:row>15</xdr:row>
      <xdr:rowOff>90429</xdr:rowOff>
    </xdr:from>
    <xdr:to>
      <xdr:col>12</xdr:col>
      <xdr:colOff>273424</xdr:colOff>
      <xdr:row>16</xdr:row>
      <xdr:rowOff>91548</xdr:rowOff>
    </xdr:to>
    <xdr:sp macro="" textlink="">
      <xdr:nvSpPr>
        <xdr:cNvPr id="56" name="TextBox 55">
          <a:extLst>
            <a:ext uri="{FF2B5EF4-FFF2-40B4-BE49-F238E27FC236}">
              <a16:creationId xmlns:a16="http://schemas.microsoft.com/office/drawing/2014/main" id="{E17A32A9-8A43-3478-F541-7E218F91F614}"/>
            </a:ext>
          </a:extLst>
        </xdr:cNvPr>
        <xdr:cNvSpPr txBox="1"/>
      </xdr:nvSpPr>
      <xdr:spPr>
        <a:xfrm>
          <a:off x="5759108" y="2847076"/>
          <a:ext cx="1829516" cy="184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IN" sz="1000" b="0" baseline="0"/>
            <a:t>No.of Patient Department Referal</a:t>
          </a:r>
          <a:endParaRPr lang="en-IN" sz="1000" b="0"/>
        </a:p>
      </xdr:txBody>
    </xdr:sp>
    <xdr:clientData/>
  </xdr:twoCellAnchor>
  <xdr:twoCellAnchor editAs="oneCell">
    <xdr:from>
      <xdr:col>6</xdr:col>
      <xdr:colOff>233082</xdr:colOff>
      <xdr:row>1</xdr:row>
      <xdr:rowOff>20621</xdr:rowOff>
    </xdr:from>
    <xdr:to>
      <xdr:col>8</xdr:col>
      <xdr:colOff>201706</xdr:colOff>
      <xdr:row>3</xdr:row>
      <xdr:rowOff>134471</xdr:rowOff>
    </xdr:to>
    <mc:AlternateContent xmlns:mc="http://schemas.openxmlformats.org/markup-compatibility/2006">
      <mc:Choice xmlns:a14="http://schemas.microsoft.com/office/drawing/2010/main" Requires="a14">
        <xdr:graphicFrame macro="">
          <xdr:nvGraphicFramePr>
            <xdr:cNvPr id="57" name="Date (Year)">
              <a:extLst>
                <a:ext uri="{FF2B5EF4-FFF2-40B4-BE49-F238E27FC236}">
                  <a16:creationId xmlns:a16="http://schemas.microsoft.com/office/drawing/2014/main" id="{BFFDBFAE-858B-4418-B4AA-78164BD6BF56}"/>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890682" y="205678"/>
              <a:ext cx="1187824" cy="4839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68580</xdr:rowOff>
    </xdr:from>
    <xdr:to>
      <xdr:col>19</xdr:col>
      <xdr:colOff>228600</xdr:colOff>
      <xdr:row>26</xdr:row>
      <xdr:rowOff>106680</xdr:rowOff>
    </xdr:to>
    <xdr:graphicFrame macro="">
      <xdr:nvGraphicFramePr>
        <xdr:cNvPr id="2" name="Chart 1">
          <a:extLst>
            <a:ext uri="{FF2B5EF4-FFF2-40B4-BE49-F238E27FC236}">
              <a16:creationId xmlns:a16="http://schemas.microsoft.com/office/drawing/2014/main" id="{97681C72-89AC-48F9-AB58-B2F9C1BD9C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579120</xdr:colOff>
      <xdr:row>3</xdr:row>
      <xdr:rowOff>30480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A3D8D9E6-9E49-250F-35CA-1A0F623F048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579120" cy="5791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45720</xdr:colOff>
      <xdr:row>0</xdr:row>
      <xdr:rowOff>0</xdr:rowOff>
    </xdr:from>
    <xdr:to>
      <xdr:col>20</xdr:col>
      <xdr:colOff>320040</xdr:colOff>
      <xdr:row>35</xdr:row>
      <xdr:rowOff>144780</xdr:rowOff>
    </xdr:to>
    <xdr:graphicFrame macro="">
      <xdr:nvGraphicFramePr>
        <xdr:cNvPr id="2" name="Chart 1">
          <a:extLst>
            <a:ext uri="{FF2B5EF4-FFF2-40B4-BE49-F238E27FC236}">
              <a16:creationId xmlns:a16="http://schemas.microsoft.com/office/drawing/2014/main" id="{D874931C-B021-4FED-B823-04B0FA9EC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cdr:x>
      <cdr:y>0</cdr:y>
    </cdr:from>
    <cdr:to>
      <cdr:x>0.05011</cdr:x>
      <cdr:y>0.08731</cdr:y>
    </cdr:to>
    <cdr:pic>
      <cdr:nvPicPr>
        <cdr:cNvPr id="5" name="Graphic 4"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18925DD-F210-95E0-08C0-C9BAE2C7237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624744" cy="571499"/>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22860</xdr:colOff>
      <xdr:row>0</xdr:row>
      <xdr:rowOff>0</xdr:rowOff>
    </xdr:from>
    <xdr:to>
      <xdr:col>20</xdr:col>
      <xdr:colOff>137160</xdr:colOff>
      <xdr:row>37</xdr:row>
      <xdr:rowOff>152400</xdr:rowOff>
    </xdr:to>
    <xdr:graphicFrame macro="">
      <xdr:nvGraphicFramePr>
        <xdr:cNvPr id="2" name="Chart 1">
          <a:extLst>
            <a:ext uri="{FF2B5EF4-FFF2-40B4-BE49-F238E27FC236}">
              <a16:creationId xmlns:a16="http://schemas.microsoft.com/office/drawing/2014/main" id="{831FFA13-61B1-442B-81FC-549427FFA2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160020</xdr:colOff>
      <xdr:row>0</xdr:row>
      <xdr:rowOff>0</xdr:rowOff>
    </xdr:from>
    <xdr:to>
      <xdr:col>1</xdr:col>
      <xdr:colOff>160020</xdr:colOff>
      <xdr:row>3</xdr:row>
      <xdr:rowOff>144780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9BA0E10B-304C-0DE3-1C32-B740F1CAD59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0020" y="0"/>
          <a:ext cx="609600" cy="69342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306.004599189815" createdVersion="5" refreshedVersion="8" minRefreshableVersion="3" recordCount="0" supportSubquery="1" supportAdvancedDrill="1" xr:uid="{89CBA363-F527-4308-B7DB-ABB65E385063}">
  <cacheSource type="external" connectionId="3"/>
  <cacheFields count="4">
    <cacheField name="[Measures].[Distinct Count of Patient Id]" caption="Distinct Count of Patient Id" numFmtId="0" hierarchy="25" level="32767"/>
    <cacheField name="[Calende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4"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Hour)]" caption="Date (Hour)" attribute="1" defaultMemberUniqueName="[Calender_table].[Date (Hour)].[All]" allUniqueName="[Calender_table].[Date (Hour)].[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306.0045994213" createdVersion="5" refreshedVersion="8" minRefreshableVersion="3" recordCount="0" supportSubquery="1" supportAdvancedDrill="1" xr:uid="{4FBF4BE8-C54A-4E27-8923-57C308A6DED0}">
  <cacheSource type="external" connectionId="3"/>
  <cacheFields count="3">
    <cacheField name="[Measures].[Distinct Count of Patient Id]" caption="Distinct Count of Patient Id" numFmtId="0" hierarchy="25" level="32767"/>
    <cacheField name="[Calender_table].[Date (Month)].[Date (Month)]" caption="Date (Month)" numFmtId="0" hierarchy="1" level="1">
      <sharedItems containsSemiMixedTypes="0" containsNonDate="0" containsString="0"/>
    </cacheField>
    <cacheField name="[Calender_table].[Date (Year)].[Date (Year)]" caption="Date (Year)" numFmtId="0" hierarchy="4"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Hour)]" caption="Date (Hour)" attribute="1" defaultMemberUniqueName="[Calender_table].[Date (Hour)].[All]" allUniqueName="[Calender_table].[Date (Hour)].[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306.004599537038" createdVersion="5" refreshedVersion="8" minRefreshableVersion="3" recordCount="0" supportSubquery="1" supportAdvancedDrill="1" xr:uid="{ADD4B47F-CE34-4F96-8593-3B79AE57C798}">
  <cacheSource type="external" connectionId="3"/>
  <cacheFields count="3">
    <cacheField name="[Measures].[Average of Patient Waittime]" caption="Average of Patient Waittime" numFmtId="0" hierarchy="27" level="32767"/>
    <cacheField name="[Calender_table].[Date (Month)].[Date (Month)]" caption="Date (Month)" numFmtId="0" hierarchy="1" level="1">
      <sharedItems containsSemiMixedTypes="0" containsNonDate="0" containsString="0"/>
    </cacheField>
    <cacheField name="[Calender_table].[Date (Year)].[Date (Year)]" caption="Date (Year)" numFmtId="0" hierarchy="4"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Hour)]" caption="Date (Hour)" attribute="1" defaultMemberUniqueName="[Calender_table].[Date (Hour)].[All]" allUniqueName="[Calender_table].[Date (Hour)].[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306.004599768516" createdVersion="5" refreshedVersion="8" minRefreshableVersion="3" recordCount="0" supportSubquery="1" supportAdvancedDrill="1" xr:uid="{13606901-B8AF-47B1-AF23-BA818F62C9A3}">
  <cacheSource type="external" connectionId="3"/>
  <cacheFields count="3">
    <cacheField name="[Measures].[Average of Patient Satisfaction Score]" caption="Average of Patient Satisfaction Score" numFmtId="0" hierarchy="29" level="32767"/>
    <cacheField name="[Calender_table].[Date (Month)].[Date (Month)]" caption="Date (Month)" numFmtId="0" hierarchy="1" level="1">
      <sharedItems containsSemiMixedTypes="0" containsNonDate="0" containsString="0"/>
    </cacheField>
    <cacheField name="[Calender_table].[Date (Year)].[Date (Year)]" caption="Date (Year)" numFmtId="0" hierarchy="4"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Hour)]" caption="Date (Hour)" attribute="1" defaultMemberUniqueName="[Calender_table].[Date (Hour)].[All]" allUniqueName="[Calender_table].[Date (Hour)].[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306.004600231485" createdVersion="5" refreshedVersion="8" minRefreshableVersion="3" recordCount="0" supportSubquery="1" supportAdvancedDrill="1" xr:uid="{C343694A-3E06-40D5-B513-32626246D726}">
  <cacheSource type="external" connectionId="3"/>
  <cacheFields count="4">
    <cacheField name="[Calende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7" level="32767"/>
    <cacheField name="[Calender_table].[Date (Year)].[Date (Year)]" caption="Date (Year)" numFmtId="0" hierarchy="4"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Hour)]" caption="Date (Hour)" attribute="1" defaultMemberUniqueName="[Calender_table].[Date (Hour)].[All]" allUniqueName="[Calender_table].[Date (Hour)].[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306.004600810185" createdVersion="5" refreshedVersion="8" minRefreshableVersion="3" recordCount="0" supportSubquery="1" supportAdvancedDrill="1" xr:uid="{E3D03A43-3149-41BF-BD52-1BCFE759AC58}">
  <cacheSource type="external" connectionId="3"/>
  <cacheFields count="4">
    <cacheField name="[Calender_table].[Date (Day)].[Date (Day)]" caption="Date (Day)" numFmtId="0" hierarchy="2" level="1">
      <sharedItems count="28">
        <s v="1-Feb"/>
        <s v="2-Feb"/>
        <s v="3-Feb"/>
        <s v="4-Feb"/>
        <s v="5-Feb"/>
        <s v="6-Feb"/>
        <s v="7-Feb"/>
        <s v="8-Feb"/>
        <s v="9-Feb"/>
        <s v="10-Feb"/>
        <s v="11-Feb"/>
        <s v="12-Feb"/>
        <s v="13-Feb"/>
        <s v="14-Feb"/>
        <s v="15-Feb"/>
        <s v="16-Feb"/>
        <s v="17-Feb"/>
        <s v="18-Feb"/>
        <s v="19-Feb"/>
        <s v="20-Feb"/>
        <s v="21-Feb"/>
        <s v="22-Feb"/>
        <s v="23-Feb"/>
        <s v="24-Feb"/>
        <s v="25-Feb"/>
        <s v="27-Feb"/>
        <s v="28-Feb"/>
        <s v="29-Feb"/>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 name="[Calender_table].[Date (Year)].[Date (Year)]" caption="Date (Year)" numFmtId="0" hierarchy="4"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Hour)]" caption="Date (Hour)" attribute="1" defaultMemberUniqueName="[Calender_table].[Date (Hour)].[All]" allUniqueName="[Calender_table].[Date (Hour)].[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306.004601273147" createdVersion="5" refreshedVersion="8" minRefreshableVersion="3" recordCount="0" supportSubquery="1" supportAdvancedDrill="1" xr:uid="{332DD8AD-0F62-4A4E-B32A-A8E3EC22A0C8}">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4" level="1">
      <sharedItems count="2">
        <s v="Admitted"/>
        <s v="Not Admitted"/>
      </sharedItems>
    </cacheField>
    <cacheField name="[Calender_table].[Date (Year)].[Date (Year)]" caption="Date (Year)" numFmtId="0" hierarchy="4"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Hour)]" caption="Date (Hour)" attribute="1" defaultMemberUniqueName="[Calender_table].[Date (Hour)].[All]" allUniqueName="[Calender_table].[Date (Hour)].[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306.004601736109" createdVersion="5" refreshedVersion="8" minRefreshableVersion="3" recordCount="0" supportSubquery="1" supportAdvancedDrill="1" xr:uid="{3970C57D-2230-4433-A646-8339536F87A8}">
  <cacheSource type="external" connectionId="3"/>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4" level="1">
      <sharedItems count="2">
        <s v="Admitted"/>
        <s v="Not Admitted"/>
      </sharedItems>
    </cacheField>
    <cacheField name="[Hospital Emergency Room Data].[Age Group].[Age Group]" caption="Age Group" numFmtId="0" hierarchy="17" level="1">
      <sharedItems count="8">
        <s v="0-9"/>
        <s v="10-19"/>
        <s v="20-29"/>
        <s v="30-39"/>
        <s v="40-49"/>
        <s v="50-59"/>
        <s v="60-69"/>
        <s v="70-79"/>
      </sharedItems>
    </cacheField>
    <cacheField name="[Measures].[Count of Age Group]" caption="Count of Age Group" numFmtId="0" hierarchy="31" level="32767"/>
    <cacheField name="[Calender_table].[Date (Year)].[Date (Year)]" caption="Date (Year)" numFmtId="0" hierarchy="4"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Hour)]" caption="Date (Hour)" attribute="1" defaultMemberUniqueName="[Calender_table].[Date (Hour)].[All]" allUniqueName="[Calender_table].[Date (Hour)].[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oneField="1" hidden="1">
      <fieldsUsage count="1">
        <fieldUsage x="3"/>
      </fieldsUsage>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306.004602083332" createdVersion="5" refreshedVersion="8" minRefreshableVersion="3" recordCount="0" supportSubquery="1" supportAdvancedDrill="1" xr:uid="{4B3B4F30-A1D3-40D3-95C7-73EF08F3E1C3}">
  <cacheSource type="external" connectionId="3"/>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4" level="1">
      <sharedItems count="2">
        <s v="Admitted"/>
        <s v="Not Admitted"/>
      </sharedItems>
    </cacheField>
    <cacheField name="[Hospital Emergency Room Data].[Patient attend Status].[Patient attend Status]" caption="Patient attend Status" numFmtId="0" hierarchy="18" level="1">
      <sharedItems count="2">
        <s v="Delay"/>
        <s v="Ontime"/>
      </sharedItems>
    </cacheField>
    <cacheField name="[Measures].[Count of Patient attend Status]" caption="Count of Patient attend Status" numFmtId="0" hierarchy="32" level="32767"/>
    <cacheField name="[Calender_table].[Date (Year)].[Date (Year)]" caption="Date (Year)" numFmtId="0" hierarchy="4"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Hour)]" caption="Date (Hour)" attribute="1" defaultMemberUniqueName="[Calender_table].[Date (Hour)].[All]" allUniqueName="[Calender_table].[Date (Hour)].[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oneField="1" hidden="1">
      <fieldsUsage count="1">
        <fieldUsage x="3"/>
      </fieldsUsage>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306.004602430556" createdVersion="5" refreshedVersion="8" minRefreshableVersion="3" recordCount="0" supportSubquery="1" supportAdvancedDrill="1" xr:uid="{A9AED7DB-D174-4639-B73A-682F4CD22B5F}">
  <cacheSource type="external" connectionId="3"/>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4" level="1">
      <sharedItems count="2">
        <s v="Admitted"/>
        <s v="Not Admitted"/>
      </sharedItems>
    </cacheField>
    <cacheField name="[Hospital Emergency Room Data].[Patient Gender].[Patient Gender]" caption="Patient Gender" numFmtId="0" hierarchy="10" level="1">
      <sharedItems count="2">
        <s v="Female"/>
        <s v="Male"/>
      </sharedItems>
    </cacheField>
    <cacheField name="[Measures].[Count of Patient Gender]" caption="Count of Patient Gender" numFmtId="0" hierarchy="33" level="32767"/>
    <cacheField name="[Calender_table].[Date (Year)].[Date (Year)]" caption="Date (Year)" numFmtId="0" hierarchy="4"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Hour)]" caption="Date (Hour)" attribute="1" defaultMemberUniqueName="[Calender_table].[Date (Hour)].[All]" allUniqueName="[Calender_table].[Date (Hour)].[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306.004602893518" createdVersion="5" refreshedVersion="8" minRefreshableVersion="3" recordCount="0" supportSubquery="1" supportAdvancedDrill="1" xr:uid="{7D7C116F-F6EA-41DF-B38F-B9D00FCDA6F7}">
  <cacheSource type="external" connectionId="3"/>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4" level="1">
      <sharedItems count="2">
        <s v="Admitted"/>
        <s v="Not Admitted"/>
      </sharedItems>
    </cacheField>
    <cacheField name="[Measures].[Count of Department Referral]" caption="Count of Department Referral" numFmtId="0" hierarchy="34" level="32767"/>
    <cacheField name="[Hospital Emergency Room Data].[Department Referral].[Department Referral]" caption="Department Referral" numFmtId="0" hierarchy="13" level="1">
      <sharedItems count="8">
        <s v="Cardiology"/>
        <s v="Gastroenterology"/>
        <s v="General Practice"/>
        <s v="Neurology"/>
        <s v="None"/>
        <s v="Orthopedics"/>
        <s v="Physiotherapy"/>
        <s v="Renal"/>
      </sharedItems>
    </cacheField>
    <cacheField name="[Calender_table].[Date (Year)].[Date (Year)]" caption="Date (Year)" numFmtId="0" hierarchy="4"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Hour)]" caption="Date (Hour)" attribute="1" defaultMemberUniqueName="[Calender_table].[Date (Hour)].[All]" allUniqueName="[Calender_table].[Date (Hour)].[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3"/>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306.004603240741" createdVersion="5" refreshedVersion="8" minRefreshableVersion="3" recordCount="0" supportSubquery="1" supportAdvancedDrill="1" xr:uid="{F009A7E9-E6DA-42D5-90A5-C8B365AE686B}">
  <cacheSource type="external" connectionId="3"/>
  <cacheFields count="5">
    <cacheField name="[Calender_table].[Date (Month)].[Date (Month)]" caption="Date (Month)" numFmtId="0" hierarchy="1" level="1">
      <sharedItems count="1">
        <s v="May"/>
      </sharedItems>
    </cacheField>
    <cacheField name="[Hospital Emergency Room Data].[Patient Admission Flag].[Patient Admission Flag]" caption="Patient Admission Flag" numFmtId="0" hierarchy="14" level="1">
      <sharedItems count="2">
        <s v="Admitted"/>
        <s v="Not Admitted"/>
      </sharedItems>
    </cacheField>
    <cacheField name="[Calender_table].[Date].[Date]" caption="Date" numFmtId="0" level="1">
      <sharedItems containsSemiMixedTypes="0" containsNonDate="0" containsDate="1" containsString="0" minDate="2023-05-01T00:00:00" maxDate="2024-06-01T00:00:00" count="62">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 name="[Calender_table].[Date (Quarter)].[Date (Quarter)]" caption="Date (Quarter)" numFmtId="0" hierarchy="5" level="1">
      <sharedItems count="1">
        <s v="Qtr2"/>
      </sharedItems>
    </cacheField>
    <cacheField name="[Calender_table].[Date (Year)].[Date (Year)]" caption="Date (Year)" numFmtId="0" hierarchy="4" level="1">
      <sharedItems count="1">
        <s v="2024"/>
      </sharedItems>
    </cacheField>
  </cacheFields>
  <cacheHierarchies count="35">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2"/>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Hour)]" caption="Date (Hour)" attribute="1" defaultMemberUniqueName="[Calender_table].[Date (Hour)].[All]" allUniqueName="[Calender_table].[Date (Hour)].[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306.002623842593" createdVersion="3" refreshedVersion="8" minRefreshableVersion="3" recordCount="0" supportSubquery="1" supportAdvancedDrill="1" xr:uid="{A79E96FF-9167-4A79-81FD-48097AF781D2}">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Hour)]" caption="Date (Hour)" attribute="1" defaultMemberUniqueName="[Calender_table].[Date (Hour)].[All]" allUniqueName="[Calender_table].[Date (Hour)].[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8877001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3C0C73-1082-4BF5-B727-2BBE0065D94C}" name="PivotTable12" cacheId="1303" applyNumberFormats="0" applyBorderFormats="0" applyFontFormats="0" applyPatternFormats="0" applyAlignmentFormats="0" applyWidthHeightFormats="1" dataCaption="Values" tag="8ec78aa1-9593-46b8-8b9d-ca9bcd40ebc9" updatedVersion="8" minRefreshableVersion="3" subtotalHiddenItems="1" itemPrintTitles="1" createdVersion="5" indent="0" outline="1" outlineData="1" multipleFieldFilters="0" chartFormat="24">
  <location ref="A97:A99" firstHeaderRow="1" firstDataRow="1" firstDataCol="1"/>
  <pivotFields count="5">
    <pivotField axis="axisRow" allDrilled="1" subtotalTop="0" showAll="0" dataSourceSort="1" defaultSubtotal="0">
      <items count="1">
        <item x="0" e="0"/>
      </items>
    </pivotField>
    <pivotField allDrilled="1" subtotalTop="0" showAll="0" sortType="ascending" defaultSubtotal="0" defaultAttributeDrillState="1">
      <items count="2">
        <item x="0"/>
        <item x="1"/>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4"/>
    <field x="3"/>
    <field x="0"/>
    <field x="2"/>
  </rowFields>
  <rowItems count="2">
    <i>
      <x/>
    </i>
    <i t="grand">
      <x/>
    </i>
  </rowItems>
  <pivotHierarchies count="35">
    <pivotHierarchy dragToData="1"/>
    <pivotHierarchy multipleItemSelectionAllowed="1" dragToData="1">
      <members count="1" level="1">
        <member name="[Calender_table].[Date (Month)].&amp;[Feb]"/>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4"/>
    <rowHierarchyUsage hierarchyUsage="5"/>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D4D22F-F67D-4146-B8BE-AF1E91913960}" name="PivotTable11" cacheId="1300" applyNumberFormats="0" applyBorderFormats="0" applyFontFormats="0" applyPatternFormats="0" applyAlignmentFormats="0" applyWidthHeightFormats="1" dataCaption="Values" tag="b64620d6-f197-4c31-8cd9-fbfb59a52ab1" updatedVersion="8" minRefreshableVersion="3" subtotalHiddenItems="1" itemPrintTitles="1" createdVersion="5" indent="0" outline="1" outlineData="1" multipleFieldFilters="0" chartFormat="24">
  <location ref="A84:B93" firstHeaderRow="1" firstDataRow="1" firstDataCol="1"/>
  <pivotFields count="5">
    <pivotField allDrilled="1" subtotalTop="0" showAll="0" dataSourceSort="1" defaultSubtotal="0" defaultAttributeDrillState="1"/>
    <pivotField allDrilled="1" subtotalTop="0" showAll="0" sortType="ascending" defaultSubtotal="0" defaultAttributeDrillState="1">
      <items count="2">
        <item x="0"/>
        <item x="1"/>
      </items>
    </pivotField>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9">
    <i>
      <x v="3"/>
    </i>
    <i>
      <x v="1"/>
    </i>
    <i>
      <x v="7"/>
    </i>
    <i>
      <x/>
    </i>
    <i>
      <x v="6"/>
    </i>
    <i>
      <x v="5"/>
    </i>
    <i>
      <x v="2"/>
    </i>
    <i>
      <x v="4"/>
    </i>
    <i t="grand">
      <x/>
    </i>
  </rowItems>
  <colItems count="1">
    <i/>
  </colItems>
  <dataFields count="1">
    <dataField name="Count of Department Referral" fld="2" subtotal="count" baseField="0" baseItem="0"/>
  </dataFields>
  <chartFormats count="1">
    <chartFormat chart="2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Feb]"/>
      </members>
    </pivotHierarchy>
    <pivotHierarchy dragToData="1"/>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F1F9D7-F0EC-4CB3-92CC-AA920582ECFB}" name="PivotTable10" cacheId="1297" applyNumberFormats="0" applyBorderFormats="0" applyFontFormats="0" applyPatternFormats="0" applyAlignmentFormats="0" applyWidthHeightFormats="1" dataCaption="Values" tag="1f150a2e-db3f-4d22-8c84-cea03af6f678" updatedVersion="8" minRefreshableVersion="3" subtotalHiddenItems="1" itemPrintTitles="1" createdVersion="5" indent="0" outline="1" outlineData="1" multipleFieldFilters="0" chartFormat="21">
  <location ref="A77:B80" firstHeaderRow="1" firstDataRow="1" firstDataCol="1"/>
  <pivotFields count="5">
    <pivotField allDrilled="1" subtotalTop="0" showAll="0" dataSourceSort="1" defaultSubtotal="0" defaultAttributeDrillState="1"/>
    <pivotField allDrilled="1" subtotalTop="0" showAll="0" sortType="ascending" defaultSubtotal="0" defaultAttributeDrillState="1">
      <items count="2">
        <item x="0"/>
        <item x="1"/>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3" subtotal="count" baseField="0" baseItem="0"/>
  </dataFields>
  <chartFormats count="3">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2" count="1" selected="0">
            <x v="0"/>
          </reference>
        </references>
      </pivotArea>
    </chartFormat>
    <chartFormat chart="19" format="6">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 (Month)].&amp;[Feb]"/>
      </members>
    </pivotHierarchy>
    <pivotHierarchy dragToData="1"/>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AE46AF-D49A-41F3-8CC7-AD5318E82633}" name="PivotTable9" cacheId="1294" applyNumberFormats="0" applyBorderFormats="0" applyFontFormats="0" applyPatternFormats="0" applyAlignmentFormats="0" applyWidthHeightFormats="1" dataCaption="Values" tag="7d3d1bf4-be8f-4ebb-879b-259bd878f0d4" updatedVersion="8" minRefreshableVersion="3" subtotalHiddenItems="1" itemPrintTitles="1" createdVersion="5" indent="0" outline="1" outlineData="1" multipleFieldFilters="0" chartFormat="12">
  <location ref="A70:B73" firstHeaderRow="1" firstDataRow="1" firstDataCol="1"/>
  <pivotFields count="5">
    <pivotField allDrilled="1" subtotalTop="0" showAll="0" dataSourceSort="1" defaultSubtotal="0" defaultAttributeDrillState="1"/>
    <pivotField allDrilled="1" subtotalTop="0" showAll="0" sortType="ascending" defaultSubtotal="0" defaultAttributeDrillState="1">
      <items count="2">
        <item x="0"/>
        <item x="1"/>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attend Status" fld="3" subtotal="count" baseField="0" baseItem="0"/>
  </dataField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2" count="1" selected="0">
            <x v="0"/>
          </reference>
        </references>
      </pivotArea>
    </chartFormat>
    <chartFormat chart="10" format="6">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 (Month)].&amp;[Feb]"/>
      </members>
    </pivotHierarchy>
    <pivotHierarchy dragToData="1"/>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75A20B-78FA-498C-BAEF-C7DA3C9DEA6C}" name="PivotTable8" cacheId="1291" applyNumberFormats="0" applyBorderFormats="0" applyFontFormats="0" applyPatternFormats="0" applyAlignmentFormats="0" applyWidthHeightFormats="1" dataCaption="Values" tag="00a45572-145e-4881-aee0-6330282a80c5" updatedVersion="8" minRefreshableVersion="3" subtotalHiddenItems="1" itemPrintTitles="1" createdVersion="5" indent="0" outline="1" outlineData="1" multipleFieldFilters="0" chartFormat="8">
  <location ref="A58:B67" firstHeaderRow="1" firstDataRow="1" firstDataCol="1"/>
  <pivotFields count="5">
    <pivotField allDrilled="1" subtotalTop="0" showAll="0" dataSourceSort="1" defaultSubtotal="0" defaultAttributeDrillState="1"/>
    <pivotField allDrilled="1" subtotalTop="0" showAll="0" sortType="ascending" defaultSubtotal="0" defaultAttributeDrillState="1">
      <items count="2">
        <item x="0"/>
        <item x="1"/>
      </items>
    </pivotField>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3"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Feb]"/>
      </members>
    </pivotHierarchy>
    <pivotHierarchy dragToData="1"/>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FC0D59-7E19-41A0-9A69-BA81C015CADB}" name="PivotTable7" cacheId="1288" applyNumberFormats="0" applyBorderFormats="0" applyFontFormats="0" applyPatternFormats="0" applyAlignmentFormats="0" applyWidthHeightFormats="1" dataCaption="Values" tag="1f519ce4-4fc0-426f-b301-2cef8f37f24a" updatedVersion="8" minRefreshableVersion="3" subtotalHiddenItems="1" itemPrintTitles="1" createdVersion="5" indent="0" outline="1" outlineData="1" multipleFieldFilters="0" chartFormat="5">
  <location ref="A40:C43"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er_table].[Date (Month)].&amp;[Feb]"/>
      </members>
    </pivotHierarchy>
    <pivotHierarchy dragToData="1"/>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AE283DF-67A9-452A-93D4-2537F107C7B3}" name="PivotTable6" cacheId="1285" applyNumberFormats="0" applyBorderFormats="0" applyFontFormats="0" applyPatternFormats="0" applyAlignmentFormats="0" applyWidthHeightFormats="1" dataCaption="Values" tag="7d413ea3-297c-461f-923f-46d33e69f286" updatedVersion="8" minRefreshableVersion="3" subtotalHiddenItems="1" itemPrintTitles="1" createdVersion="5" indent="0" outline="1" outlineData="1" multipleFieldFilters="0" chartFormat="28">
  <location ref="O3:P32" firstHeaderRow="1" firstDataRow="1" firstDataCol="1"/>
  <pivotFields count="4">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Patient Satisfaction Score" fld="2" subtotal="average" baseField="0" baseItem="1"/>
  </dataFields>
  <formats count="1">
    <format dxfId="28">
      <pivotArea outline="0" collapsedLevelsAreSubtotals="1" fieldPosition="0"/>
    </format>
  </formats>
  <chartFormats count="2">
    <chartFormat chart="23" format="2"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Feb]"/>
      </members>
    </pivotHierarchy>
    <pivotHierarchy dragToData="1"/>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16D8B3-2AFA-486A-8989-E3E1FCDD7497}" name="PivotTable5" cacheId="1282" applyNumberFormats="0" applyBorderFormats="0" applyFontFormats="0" applyPatternFormats="0" applyAlignmentFormats="0" applyWidthHeightFormats="1" dataCaption="Values" tag="4c1ee3c1-229b-4f57-a0a9-8b84291c2ff4" updatedVersion="8" minRefreshableVersion="3" subtotalHiddenItems="1" itemPrintTitles="1" createdVersion="5" indent="0" outline="1" outlineData="1" multipleFieldFilters="0" chartFormat="21">
  <location ref="K3:L33" firstHeaderRow="1" firstDataRow="1" firstDataCol="1"/>
  <pivotFields count="4">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Waittime" fld="2" subtotal="average" baseField="0" baseItem="0" numFmtId="2"/>
  </dataFields>
  <formats count="1">
    <format dxfId="29">
      <pivotArea outline="0" collapsedLevelsAreSubtotals="1" fieldPosition="0"/>
    </format>
  </formats>
  <chartFormats count="2">
    <chartFormat chart="15" format="2"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Feb]"/>
      </members>
    </pivotHierarchy>
    <pivotHierarchy dragToData="1"/>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ACAF2F2-7935-40B0-86DA-054B40EA673D}" name="PivotTable4" cacheId="1270" applyNumberFormats="0" applyBorderFormats="0" applyFontFormats="0" applyPatternFormats="0" applyAlignmentFormats="0" applyWidthHeightFormats="1" dataCaption="Values" tag="382dcd4f-3ed7-4f7b-bb82-56a9a16cd79d" updatedVersion="8" minRefreshableVersion="3" subtotalHiddenItems="1" itemPrintTitles="1" createdVersion="5" indent="0" outline="1" outlineData="1" multipleFieldFilters="0" chartFormat="13">
  <location ref="H3:I33" firstHeaderRow="1" firstDataRow="1" firstDataCol="1"/>
  <pivotFields count="4">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4" format="3"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Feb]"/>
      </members>
    </pivotHierarchy>
    <pivotHierarchy dragToData="1"/>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8F58DC6-7EA8-4849-A4A7-6FC633CF369B}" name="PivotTable1" cacheId="1273" applyNumberFormats="0" applyBorderFormats="0" applyFontFormats="0" applyPatternFormats="0" applyAlignmentFormats="0" applyWidthHeightFormats="1" dataCaption="Values" tag="1e9b4eed-9c05-474c-bb9a-59e22ed7a8c8" updatedVersion="8" minRefreshableVersion="3" subtotalHiddenItems="1" itemPrintTitles="1" createdVersion="5"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_table].[Date (Month)].&amp;[Feb]"/>
      </members>
    </pivotHierarchy>
    <pivotHierarchy dragToData="1"/>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B7ABC11-F3C3-4969-A60B-46A51660CE4B}" name="PivotTable3" cacheId="1279" applyNumberFormats="0" applyBorderFormats="0" applyFontFormats="0" applyPatternFormats="0" applyAlignmentFormats="0" applyWidthHeightFormats="1" dataCaption="Values" tag="1579f7e0-546b-494c-9a7c-362ad764d91a" updatedVersion="8" minRefreshableVersion="3"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33">
      <pivotArea outline="0" collapsedLevelsAreSubtotals="1" fieldPosition="0"/>
    </format>
  </formats>
  <pivotHierarchies count="35">
    <pivotHierarchy dragToData="1"/>
    <pivotHierarchy multipleItemSelectionAllowed="1" dragToData="1">
      <members count="1" level="1">
        <member name="[Calender_table].[Date (Month)].&amp;[Feb]"/>
      </members>
    </pivotHierarchy>
    <pivotHierarchy dragToData="1"/>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3608C27-B4D8-4689-A4D1-C3411649D51E}" name="PivotTable2" cacheId="1276" applyNumberFormats="0" applyBorderFormats="0" applyFontFormats="0" applyPatternFormats="0" applyAlignmentFormats="0" applyWidthHeightFormats="1" dataCaption="Values" tag="e21a0f1b-2938-4752-b7d7-4bb818a927b9" updatedVersion="8" minRefreshableVersion="3"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2">
      <pivotArea outline="0" collapsedLevelsAreSubtotals="1" fieldPosition="0"/>
    </format>
  </formats>
  <pivotHierarchies count="35">
    <pivotHierarchy dragToData="1"/>
    <pivotHierarchy multipleItemSelectionAllowed="1" dragToData="1">
      <members count="1" level="1">
        <member name="[Calender_table].[Date (Month)].&amp;[Feb]"/>
      </members>
    </pivotHierarchy>
    <pivotHierarchy dragToData="1"/>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9C56E5EA-F17E-4B62-97BA-6F10F70FF255}"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887700168">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EAB7AA9C-E974-441F-A127-B039FD53ED4C}"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887700168">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58DE1E4-99CF-4013-89FF-A8B0FC8EA0B2}" cache="Slicer_Date__Month" caption="Date (Month)" showCaption="0" level="1" style="SlicerStyleDark3 2" rowHeight="247650"/>
  <slicer name="Date (Year)" xr10:uid="{348AAD23-7BAC-4E96-904E-357D0D212295}" cache="Slicer_Date__Year" caption="Date (Year)" columnCount="2" showCaption="0" level="1" style="SlicerStyleLight6"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 dockstate="right" visibility="0" width="438" row="9">
    <wetp:webextensionref xmlns:r="http://schemas.openxmlformats.org/officeDocument/2006/relationships" r:id="rId2"/>
  </wetp:taskpane>
</wetp:taskpanes>
</file>

<file path=xl/webextensions/webextension1.xml><?xml version="1.0" encoding="utf-8"?>
<we:webextension xmlns:we="http://schemas.microsoft.com/office/webextensions/webextension/2010/11" id="{A7DA65A1-B0CF-4ECF-8BCA-C102E354EC4F}">
  <we:reference id="wa200006524" version="1.0.9.0" store="en-US" storeType="OMEX"/>
  <we:alternateReferences>
    <we:reference id="WA200006524" version="1.0.9.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_xldudf_SSAI</we:customFunctionIds>
        <we:customFunctionIds>_xldudf_SSAI_LIST</we:customFunctionIds>
        <we:customFunctionIds>_xldudf_SSAI_FORMAT</we:customFunctionIds>
        <we:customFunctionIds>_xldudf_SSAI_TAG</we:customFunctionIds>
        <we:customFunctionIds>_xldudf_SSAI_CLASSIFY</we:customFunctionIds>
        <we:customFunctionIds>_xldudf_SSAI_EXTRACT</we:customFunctionIds>
        <we:customFunctionIds>_xldudf_SSAI_SUMMARIZE</we:customFunctionIds>
        <we:customFunctionIds>_xldudf_SSAI_TRANSLATE</we:customFunctionIds>
        <we:customFunctionIds>_xldudf_SSAI_CONVERT</we:customFunctionIds>
      </we:customFunctionIdList>
    </a:ext>
  </we:extLst>
</we:webextension>
</file>

<file path=xl/webextensions/webextension2.xml><?xml version="1.0" encoding="utf-8"?>
<we:webextension xmlns:we="http://schemas.microsoft.com/office/webextensions/webextension/2010/11" id="{A3FA4A12-7B3D-47BE-9D1F-78423ABCD0E6}">
  <we:reference id="wa200001584" version="3.0.5.6" store="en-US" storeType="OMEX"/>
  <we:alternateReferences>
    <we:reference id="WA200001584" version="3.0.5.6"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53146-58A6-4870-94D7-A05D0FE6A84D}">
  <dimension ref="A3:P99"/>
  <sheetViews>
    <sheetView topLeftCell="A96" zoomScale="122" zoomScaleNormal="122" workbookViewId="0">
      <selection activeCell="A99" sqref="A98:A99"/>
    </sheetView>
  </sheetViews>
  <sheetFormatPr defaultRowHeight="14.4" x14ac:dyDescent="0.3"/>
  <cols>
    <col min="1" max="1" width="22.109375" customWidth="1"/>
    <col min="2" max="2" width="27.6640625" bestFit="1" customWidth="1"/>
    <col min="3" max="3" width="13.21875" customWidth="1"/>
    <col min="4" max="4" width="18.5546875" customWidth="1"/>
    <col min="8" max="9" width="23.33203125" bestFit="1" customWidth="1"/>
    <col min="11" max="11" width="12.44140625" bestFit="1" customWidth="1"/>
    <col min="12" max="12" width="24.21875" bestFit="1" customWidth="1"/>
    <col min="16" max="16" width="31.77734375" bestFit="1" customWidth="1"/>
  </cols>
  <sheetData>
    <row r="3" spans="1:16" x14ac:dyDescent="0.3">
      <c r="A3" t="s">
        <v>0</v>
      </c>
      <c r="H3" s="2" t="s">
        <v>20</v>
      </c>
      <c r="I3" t="s">
        <v>0</v>
      </c>
      <c r="K3" s="2" t="s">
        <v>20</v>
      </c>
      <c r="L3" t="s">
        <v>1</v>
      </c>
      <c r="O3" s="2" t="s">
        <v>20</v>
      </c>
      <c r="P3" t="s">
        <v>2</v>
      </c>
    </row>
    <row r="4" spans="1:16" x14ac:dyDescent="0.3">
      <c r="A4" s="1">
        <v>431</v>
      </c>
      <c r="H4" s="5" t="s">
        <v>21</v>
      </c>
      <c r="I4" s="1">
        <v>13</v>
      </c>
      <c r="K4" s="5" t="s">
        <v>21</v>
      </c>
      <c r="L4" s="3">
        <v>35.692307692307693</v>
      </c>
      <c r="O4" s="5" t="s">
        <v>21</v>
      </c>
      <c r="P4" s="3">
        <v>4.166666666666667</v>
      </c>
    </row>
    <row r="5" spans="1:16" x14ac:dyDescent="0.3">
      <c r="H5" s="5" t="s">
        <v>22</v>
      </c>
      <c r="I5" s="1">
        <v>10</v>
      </c>
      <c r="K5" s="5" t="s">
        <v>22</v>
      </c>
      <c r="L5" s="3">
        <v>45.4</v>
      </c>
      <c r="O5" s="5" t="s">
        <v>22</v>
      </c>
      <c r="P5" s="3">
        <v>5.75</v>
      </c>
    </row>
    <row r="6" spans="1:16" x14ac:dyDescent="0.3">
      <c r="H6" s="5" t="s">
        <v>23</v>
      </c>
      <c r="I6" s="1">
        <v>8</v>
      </c>
      <c r="K6" s="5" t="s">
        <v>23</v>
      </c>
      <c r="L6" s="3">
        <v>29.375</v>
      </c>
      <c r="O6" s="5" t="s">
        <v>23</v>
      </c>
      <c r="P6" s="3">
        <v>4.75</v>
      </c>
    </row>
    <row r="7" spans="1:16" x14ac:dyDescent="0.3">
      <c r="H7" s="5" t="s">
        <v>24</v>
      </c>
      <c r="I7" s="1">
        <v>12</v>
      </c>
      <c r="K7" s="5" t="s">
        <v>24</v>
      </c>
      <c r="L7" s="3">
        <v>34.583333333333336</v>
      </c>
      <c r="O7" s="5" t="s">
        <v>24</v>
      </c>
      <c r="P7" s="3">
        <v>7</v>
      </c>
    </row>
    <row r="8" spans="1:16" x14ac:dyDescent="0.3">
      <c r="A8" t="s">
        <v>1</v>
      </c>
      <c r="H8" s="5" t="s">
        <v>25</v>
      </c>
      <c r="I8" s="1">
        <v>19</v>
      </c>
      <c r="K8" s="5" t="s">
        <v>25</v>
      </c>
      <c r="L8" s="3">
        <v>38.684210526315788</v>
      </c>
      <c r="O8" s="5" t="s">
        <v>25</v>
      </c>
      <c r="P8" s="3">
        <v>3.1428571428571428</v>
      </c>
    </row>
    <row r="9" spans="1:16" x14ac:dyDescent="0.3">
      <c r="A9" s="3">
        <v>36.670533642691417</v>
      </c>
      <c r="H9" s="5" t="s">
        <v>26</v>
      </c>
      <c r="I9" s="1">
        <v>9</v>
      </c>
      <c r="K9" s="5" t="s">
        <v>26</v>
      </c>
      <c r="L9" s="3">
        <v>34.777777777777779</v>
      </c>
      <c r="O9" s="5" t="s">
        <v>26</v>
      </c>
      <c r="P9" s="3">
        <v>8</v>
      </c>
    </row>
    <row r="10" spans="1:16" x14ac:dyDescent="0.3">
      <c r="H10" s="5" t="s">
        <v>27</v>
      </c>
      <c r="I10" s="1">
        <v>13</v>
      </c>
      <c r="K10" s="5" t="s">
        <v>27</v>
      </c>
      <c r="L10" s="3">
        <v>37.307692307692307</v>
      </c>
      <c r="O10" s="5" t="s">
        <v>27</v>
      </c>
      <c r="P10" s="3">
        <v>5.25</v>
      </c>
    </row>
    <row r="11" spans="1:16" x14ac:dyDescent="0.3">
      <c r="H11" s="5" t="s">
        <v>28</v>
      </c>
      <c r="I11" s="1">
        <v>19</v>
      </c>
      <c r="K11" s="5" t="s">
        <v>28</v>
      </c>
      <c r="L11" s="3">
        <v>35.631578947368418</v>
      </c>
      <c r="O11" s="5" t="s">
        <v>28</v>
      </c>
      <c r="P11" s="3">
        <v>4.5714285714285712</v>
      </c>
    </row>
    <row r="12" spans="1:16" x14ac:dyDescent="0.3">
      <c r="H12" s="5" t="s">
        <v>29</v>
      </c>
      <c r="I12" s="1">
        <v>10</v>
      </c>
      <c r="K12" s="5" t="s">
        <v>29</v>
      </c>
      <c r="L12" s="3">
        <v>36.6</v>
      </c>
      <c r="O12" s="5" t="s">
        <v>29</v>
      </c>
      <c r="P12" s="3">
        <v>2.75</v>
      </c>
    </row>
    <row r="13" spans="1:16" x14ac:dyDescent="0.3">
      <c r="A13" t="s">
        <v>2</v>
      </c>
      <c r="H13" s="5" t="s">
        <v>30</v>
      </c>
      <c r="I13" s="1">
        <v>20</v>
      </c>
      <c r="K13" s="5" t="s">
        <v>30</v>
      </c>
      <c r="L13" s="3">
        <v>39.700000000000003</v>
      </c>
      <c r="O13" s="5" t="s">
        <v>30</v>
      </c>
      <c r="P13" s="3">
        <v>4.5</v>
      </c>
    </row>
    <row r="14" spans="1:16" x14ac:dyDescent="0.3">
      <c r="A14" s="3">
        <v>4.7154471544715451</v>
      </c>
      <c r="H14" s="5" t="s">
        <v>31</v>
      </c>
      <c r="I14" s="1">
        <v>15</v>
      </c>
      <c r="K14" s="5" t="s">
        <v>31</v>
      </c>
      <c r="L14" s="3">
        <v>37.4</v>
      </c>
      <c r="O14" s="5" t="s">
        <v>31</v>
      </c>
      <c r="P14" s="3">
        <v>5.5</v>
      </c>
    </row>
    <row r="15" spans="1:16" x14ac:dyDescent="0.3">
      <c r="H15" s="5" t="s">
        <v>32</v>
      </c>
      <c r="I15" s="1">
        <v>13</v>
      </c>
      <c r="K15" s="5" t="s">
        <v>32</v>
      </c>
      <c r="L15" s="3">
        <v>27.76923076923077</v>
      </c>
      <c r="O15" s="5" t="s">
        <v>32</v>
      </c>
      <c r="P15" s="3">
        <v>5.6</v>
      </c>
    </row>
    <row r="16" spans="1:16" x14ac:dyDescent="0.3">
      <c r="H16" s="5" t="s">
        <v>33</v>
      </c>
      <c r="I16" s="1">
        <v>9</v>
      </c>
      <c r="K16" s="5" t="s">
        <v>33</v>
      </c>
      <c r="L16" s="3">
        <v>38.777777777777779</v>
      </c>
      <c r="O16" s="5" t="s">
        <v>33</v>
      </c>
      <c r="P16" s="3">
        <v>5.75</v>
      </c>
    </row>
    <row r="17" spans="8:16" x14ac:dyDescent="0.3">
      <c r="H17" s="5" t="s">
        <v>34</v>
      </c>
      <c r="I17" s="1">
        <v>19</v>
      </c>
      <c r="K17" s="5" t="s">
        <v>34</v>
      </c>
      <c r="L17" s="3">
        <v>31</v>
      </c>
      <c r="O17" s="5" t="s">
        <v>34</v>
      </c>
      <c r="P17" s="3">
        <v>3.4444444444444446</v>
      </c>
    </row>
    <row r="18" spans="8:16" x14ac:dyDescent="0.3">
      <c r="H18" s="5" t="s">
        <v>35</v>
      </c>
      <c r="I18" s="1">
        <v>14</v>
      </c>
      <c r="K18" s="5" t="s">
        <v>35</v>
      </c>
      <c r="L18" s="3">
        <v>35.928571428571431</v>
      </c>
      <c r="O18" s="5" t="s">
        <v>35</v>
      </c>
      <c r="P18" s="3">
        <v>1.5</v>
      </c>
    </row>
    <row r="19" spans="8:16" x14ac:dyDescent="0.3">
      <c r="H19" s="5" t="s">
        <v>36</v>
      </c>
      <c r="I19" s="1">
        <v>17</v>
      </c>
      <c r="K19" s="5" t="s">
        <v>36</v>
      </c>
      <c r="L19" s="3">
        <v>37.882352941176471</v>
      </c>
      <c r="O19" s="5" t="s">
        <v>36</v>
      </c>
      <c r="P19" s="3">
        <v>3.6666666666666665</v>
      </c>
    </row>
    <row r="20" spans="8:16" x14ac:dyDescent="0.3">
      <c r="H20" s="5" t="s">
        <v>37</v>
      </c>
      <c r="I20" s="1">
        <v>17</v>
      </c>
      <c r="K20" s="5" t="s">
        <v>37</v>
      </c>
      <c r="L20" s="3">
        <v>40.588235294117645</v>
      </c>
      <c r="O20" s="5" t="s">
        <v>37</v>
      </c>
      <c r="P20" s="3">
        <v>4.4285714285714288</v>
      </c>
    </row>
    <row r="21" spans="8:16" x14ac:dyDescent="0.3">
      <c r="H21" s="5" t="s">
        <v>38</v>
      </c>
      <c r="I21" s="1">
        <v>15</v>
      </c>
      <c r="K21" s="5" t="s">
        <v>38</v>
      </c>
      <c r="L21" s="3">
        <v>34.533333333333331</v>
      </c>
      <c r="O21" s="5" t="s">
        <v>38</v>
      </c>
      <c r="P21" s="3">
        <v>6</v>
      </c>
    </row>
    <row r="22" spans="8:16" x14ac:dyDescent="0.3">
      <c r="H22" s="5" t="s">
        <v>39</v>
      </c>
      <c r="I22" s="1">
        <v>9</v>
      </c>
      <c r="K22" s="5" t="s">
        <v>39</v>
      </c>
      <c r="L22" s="3">
        <v>40.333333333333336</v>
      </c>
      <c r="O22" s="5" t="s">
        <v>39</v>
      </c>
      <c r="P22" s="3">
        <v>2.6666666666666665</v>
      </c>
    </row>
    <row r="23" spans="8:16" x14ac:dyDescent="0.3">
      <c r="H23" s="5" t="s">
        <v>40</v>
      </c>
      <c r="I23" s="1">
        <v>14</v>
      </c>
      <c r="K23" s="5" t="s">
        <v>40</v>
      </c>
      <c r="L23" s="3">
        <v>35.285714285714285</v>
      </c>
      <c r="O23" s="5" t="s">
        <v>40</v>
      </c>
      <c r="P23" s="3">
        <v>7.5</v>
      </c>
    </row>
    <row r="24" spans="8:16" x14ac:dyDescent="0.3">
      <c r="H24" s="5" t="s">
        <v>41</v>
      </c>
      <c r="I24" s="1">
        <v>22</v>
      </c>
      <c r="K24" s="5" t="s">
        <v>41</v>
      </c>
      <c r="L24" s="3">
        <v>35.5</v>
      </c>
      <c r="O24" s="5" t="s">
        <v>41</v>
      </c>
      <c r="P24" s="3">
        <v>4.5</v>
      </c>
    </row>
    <row r="25" spans="8:16" x14ac:dyDescent="0.3">
      <c r="H25" s="5" t="s">
        <v>42</v>
      </c>
      <c r="I25" s="1">
        <v>16</v>
      </c>
      <c r="K25" s="5" t="s">
        <v>42</v>
      </c>
      <c r="L25" s="3">
        <v>38.5625</v>
      </c>
      <c r="O25" s="5" t="s">
        <v>42</v>
      </c>
      <c r="P25" s="3">
        <v>8</v>
      </c>
    </row>
    <row r="26" spans="8:16" x14ac:dyDescent="0.3">
      <c r="H26" s="5" t="s">
        <v>43</v>
      </c>
      <c r="I26" s="1">
        <v>22</v>
      </c>
      <c r="K26" s="5" t="s">
        <v>43</v>
      </c>
      <c r="L26" s="3">
        <v>42.727272727272727</v>
      </c>
      <c r="O26" s="5" t="s">
        <v>43</v>
      </c>
      <c r="P26" s="3">
        <v>4.3636363636363633</v>
      </c>
    </row>
    <row r="27" spans="8:16" x14ac:dyDescent="0.3">
      <c r="H27" s="5" t="s">
        <v>44</v>
      </c>
      <c r="I27" s="1">
        <v>12</v>
      </c>
      <c r="K27" s="5" t="s">
        <v>44</v>
      </c>
      <c r="L27" s="3">
        <v>37.416666666666664</v>
      </c>
      <c r="O27" s="5" t="s">
        <v>44</v>
      </c>
      <c r="P27" s="3">
        <v>0</v>
      </c>
    </row>
    <row r="28" spans="8:16" x14ac:dyDescent="0.3">
      <c r="H28" s="5" t="s">
        <v>45</v>
      </c>
      <c r="I28" s="1">
        <v>20</v>
      </c>
      <c r="K28" s="5" t="s">
        <v>45</v>
      </c>
      <c r="L28" s="3">
        <v>32.450000000000003</v>
      </c>
      <c r="O28" s="5" t="s">
        <v>45</v>
      </c>
      <c r="P28" s="3">
        <v>10</v>
      </c>
    </row>
    <row r="29" spans="8:16" x14ac:dyDescent="0.3">
      <c r="H29" s="5" t="s">
        <v>46</v>
      </c>
      <c r="I29" s="1">
        <v>18</v>
      </c>
      <c r="K29" s="5" t="s">
        <v>46</v>
      </c>
      <c r="L29" s="3">
        <v>40.055555555555557</v>
      </c>
      <c r="O29" s="5" t="s">
        <v>47</v>
      </c>
      <c r="P29" s="3">
        <v>6.75</v>
      </c>
    </row>
    <row r="30" spans="8:16" x14ac:dyDescent="0.3">
      <c r="H30" s="5" t="s">
        <v>47</v>
      </c>
      <c r="I30" s="1">
        <v>18</v>
      </c>
      <c r="K30" s="5" t="s">
        <v>47</v>
      </c>
      <c r="L30" s="3">
        <v>31.666666666666668</v>
      </c>
      <c r="O30" s="5" t="s">
        <v>48</v>
      </c>
      <c r="P30" s="3">
        <v>7</v>
      </c>
    </row>
    <row r="31" spans="8:16" x14ac:dyDescent="0.3">
      <c r="H31" s="5" t="s">
        <v>48</v>
      </c>
      <c r="I31" s="1">
        <v>13</v>
      </c>
      <c r="K31" s="5" t="s">
        <v>48</v>
      </c>
      <c r="L31" s="3">
        <v>39.769230769230766</v>
      </c>
      <c r="O31" s="5" t="s">
        <v>49</v>
      </c>
      <c r="P31" s="3">
        <v>3.3333333333333335</v>
      </c>
    </row>
    <row r="32" spans="8:16" x14ac:dyDescent="0.3">
      <c r="H32" s="5" t="s">
        <v>49</v>
      </c>
      <c r="I32" s="1">
        <v>15</v>
      </c>
      <c r="K32" s="5" t="s">
        <v>49</v>
      </c>
      <c r="L32" s="3">
        <v>36.733333333333334</v>
      </c>
      <c r="O32" s="5" t="s">
        <v>18</v>
      </c>
      <c r="P32" s="3">
        <v>4.7154471544715451</v>
      </c>
    </row>
    <row r="33" spans="1:12" x14ac:dyDescent="0.3">
      <c r="H33" s="5" t="s">
        <v>18</v>
      </c>
      <c r="I33" s="1">
        <v>431</v>
      </c>
      <c r="K33" s="5" t="s">
        <v>18</v>
      </c>
      <c r="L33" s="3">
        <v>36.670533642691417</v>
      </c>
    </row>
    <row r="40" spans="1:12" x14ac:dyDescent="0.3">
      <c r="A40" s="2" t="s">
        <v>20</v>
      </c>
      <c r="B40" t="s">
        <v>57</v>
      </c>
      <c r="C40" t="s">
        <v>58</v>
      </c>
    </row>
    <row r="41" spans="1:12" x14ac:dyDescent="0.3">
      <c r="A41" s="5" t="s">
        <v>5</v>
      </c>
      <c r="B41" s="1">
        <v>224</v>
      </c>
      <c r="C41" s="8">
        <v>0.51972157772621808</v>
      </c>
    </row>
    <row r="42" spans="1:12" x14ac:dyDescent="0.3">
      <c r="A42" s="5" t="s">
        <v>17</v>
      </c>
      <c r="B42" s="1">
        <v>207</v>
      </c>
      <c r="C42" s="8">
        <v>0.48027842227378192</v>
      </c>
    </row>
    <row r="43" spans="1:12" x14ac:dyDescent="0.3">
      <c r="A43" s="5" t="s">
        <v>18</v>
      </c>
      <c r="B43" s="1">
        <v>431</v>
      </c>
      <c r="C43" s="8">
        <v>1</v>
      </c>
    </row>
    <row r="51" spans="1:4" x14ac:dyDescent="0.3">
      <c r="A51" s="11" t="s">
        <v>59</v>
      </c>
      <c r="B51" s="11" t="s">
        <v>61</v>
      </c>
      <c r="C51" s="10" t="s">
        <v>60</v>
      </c>
      <c r="D51" s="9"/>
    </row>
    <row r="52" spans="1:4" x14ac:dyDescent="0.3">
      <c r="A52" s="12" t="str">
        <f>A42</f>
        <v>Not Admitted</v>
      </c>
      <c r="B52" s="12">
        <f>B42</f>
        <v>207</v>
      </c>
      <c r="C52" s="8">
        <f>C42</f>
        <v>0.48027842227378192</v>
      </c>
    </row>
    <row r="53" spans="1:4" x14ac:dyDescent="0.3">
      <c r="A53" s="12" t="str">
        <f>A41</f>
        <v>Admitted</v>
      </c>
      <c r="B53" s="12">
        <f>B41</f>
        <v>224</v>
      </c>
      <c r="C53" s="8">
        <f>C41</f>
        <v>0.51972157772621808</v>
      </c>
    </row>
    <row r="57" spans="1:4" x14ac:dyDescent="0.3">
      <c r="A57" t="s">
        <v>63</v>
      </c>
    </row>
    <row r="58" spans="1:4" x14ac:dyDescent="0.3">
      <c r="A58" s="2" t="s">
        <v>20</v>
      </c>
      <c r="B58" t="s">
        <v>62</v>
      </c>
    </row>
    <row r="59" spans="1:4" x14ac:dyDescent="0.3">
      <c r="A59" s="5" t="s">
        <v>14</v>
      </c>
      <c r="B59" s="1">
        <v>42</v>
      </c>
    </row>
    <row r="60" spans="1:4" x14ac:dyDescent="0.3">
      <c r="A60" s="5" t="s">
        <v>9</v>
      </c>
      <c r="B60" s="1">
        <v>46</v>
      </c>
    </row>
    <row r="61" spans="1:4" x14ac:dyDescent="0.3">
      <c r="A61" s="5" t="s">
        <v>13</v>
      </c>
      <c r="B61" s="1">
        <v>54</v>
      </c>
    </row>
    <row r="62" spans="1:4" x14ac:dyDescent="0.3">
      <c r="A62" s="5" t="s">
        <v>15</v>
      </c>
      <c r="B62" s="1">
        <v>68</v>
      </c>
    </row>
    <row r="63" spans="1:4" x14ac:dyDescent="0.3">
      <c r="A63" s="5" t="s">
        <v>11</v>
      </c>
      <c r="B63" s="1">
        <v>62</v>
      </c>
    </row>
    <row r="64" spans="1:4" x14ac:dyDescent="0.3">
      <c r="A64" s="5" t="s">
        <v>12</v>
      </c>
      <c r="B64" s="1">
        <v>52</v>
      </c>
    </row>
    <row r="65" spans="1:3" x14ac:dyDescent="0.3">
      <c r="A65" s="5" t="s">
        <v>6</v>
      </c>
      <c r="B65" s="1">
        <v>54</v>
      </c>
    </row>
    <row r="66" spans="1:3" x14ac:dyDescent="0.3">
      <c r="A66" s="5" t="s">
        <v>8</v>
      </c>
      <c r="B66" s="1">
        <v>53</v>
      </c>
    </row>
    <row r="67" spans="1:3" x14ac:dyDescent="0.3">
      <c r="A67" s="5" t="s">
        <v>18</v>
      </c>
      <c r="B67" s="1">
        <v>431</v>
      </c>
    </row>
    <row r="69" spans="1:3" x14ac:dyDescent="0.3">
      <c r="A69" s="5" t="s">
        <v>66</v>
      </c>
    </row>
    <row r="70" spans="1:3" x14ac:dyDescent="0.3">
      <c r="A70" s="2" t="s">
        <v>20</v>
      </c>
      <c r="B70" t="s">
        <v>64</v>
      </c>
    </row>
    <row r="71" spans="1:3" x14ac:dyDescent="0.3">
      <c r="A71" s="5" t="s">
        <v>7</v>
      </c>
      <c r="B71" s="1">
        <v>283</v>
      </c>
    </row>
    <row r="72" spans="1:3" x14ac:dyDescent="0.3">
      <c r="A72" s="5" t="s">
        <v>10</v>
      </c>
      <c r="B72" s="1">
        <v>148</v>
      </c>
      <c r="C72" t="s">
        <v>65</v>
      </c>
    </row>
    <row r="73" spans="1:3" x14ac:dyDescent="0.3">
      <c r="A73" s="5" t="s">
        <v>18</v>
      </c>
      <c r="B73" s="1">
        <v>431</v>
      </c>
    </row>
    <row r="76" spans="1:3" x14ac:dyDescent="0.3">
      <c r="A76" s="5" t="s">
        <v>68</v>
      </c>
    </row>
    <row r="77" spans="1:3" x14ac:dyDescent="0.3">
      <c r="A77" s="2" t="s">
        <v>20</v>
      </c>
      <c r="B77" t="s">
        <v>67</v>
      </c>
    </row>
    <row r="78" spans="1:3" x14ac:dyDescent="0.3">
      <c r="A78" s="5" t="s">
        <v>16</v>
      </c>
      <c r="B78" s="1">
        <v>194</v>
      </c>
    </row>
    <row r="79" spans="1:3" x14ac:dyDescent="0.3">
      <c r="A79" s="5" t="s">
        <v>3</v>
      </c>
      <c r="B79" s="1">
        <v>237</v>
      </c>
    </row>
    <row r="80" spans="1:3" x14ac:dyDescent="0.3">
      <c r="A80" s="5" t="s">
        <v>18</v>
      </c>
      <c r="B80" s="1">
        <v>431</v>
      </c>
    </row>
    <row r="84" spans="1:2" x14ac:dyDescent="0.3">
      <c r="A84" s="2" t="s">
        <v>20</v>
      </c>
      <c r="B84" t="s">
        <v>69</v>
      </c>
    </row>
    <row r="85" spans="1:2" x14ac:dyDescent="0.3">
      <c r="A85" s="5" t="s">
        <v>53</v>
      </c>
      <c r="B85" s="1">
        <v>6</v>
      </c>
    </row>
    <row r="86" spans="1:2" x14ac:dyDescent="0.3">
      <c r="A86" s="5" t="s">
        <v>56</v>
      </c>
      <c r="B86" s="1">
        <v>6</v>
      </c>
    </row>
    <row r="87" spans="1:2" x14ac:dyDescent="0.3">
      <c r="A87" s="5" t="s">
        <v>55</v>
      </c>
      <c r="B87" s="1">
        <v>6</v>
      </c>
    </row>
    <row r="88" spans="1:2" x14ac:dyDescent="0.3">
      <c r="A88" s="5" t="s">
        <v>54</v>
      </c>
      <c r="B88" s="1">
        <v>12</v>
      </c>
    </row>
    <row r="89" spans="1:2" x14ac:dyDescent="0.3">
      <c r="A89" s="5" t="s">
        <v>52</v>
      </c>
      <c r="B89" s="1">
        <v>14</v>
      </c>
    </row>
    <row r="90" spans="1:2" x14ac:dyDescent="0.3">
      <c r="A90" s="5" t="s">
        <v>51</v>
      </c>
      <c r="B90" s="1">
        <v>46</v>
      </c>
    </row>
    <row r="91" spans="1:2" x14ac:dyDescent="0.3">
      <c r="A91" s="5" t="s">
        <v>50</v>
      </c>
      <c r="B91" s="1">
        <v>89</v>
      </c>
    </row>
    <row r="92" spans="1:2" x14ac:dyDescent="0.3">
      <c r="A92" s="5" t="s">
        <v>4</v>
      </c>
      <c r="B92" s="1">
        <v>252</v>
      </c>
    </row>
    <row r="93" spans="1:2" x14ac:dyDescent="0.3">
      <c r="A93" s="5" t="s">
        <v>18</v>
      </c>
      <c r="B93" s="1">
        <v>431</v>
      </c>
    </row>
    <row r="97" spans="1:1" x14ac:dyDescent="0.3">
      <c r="A97" s="2" t="s">
        <v>20</v>
      </c>
    </row>
    <row r="98" spans="1:1" x14ac:dyDescent="0.3">
      <c r="A98" s="5" t="s">
        <v>19</v>
      </c>
    </row>
    <row r="99" spans="1:1" x14ac:dyDescent="0.3">
      <c r="A99" s="5" t="s">
        <v>18</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08206-6E13-4A31-A9AA-D686EDE659D1}">
  <dimension ref="A1:Z34"/>
  <sheetViews>
    <sheetView tabSelected="1" zoomScale="140" zoomScaleNormal="140" workbookViewId="0">
      <selection activeCell="P16" sqref="P16"/>
    </sheetView>
  </sheetViews>
  <sheetFormatPr defaultRowHeight="14.4" x14ac:dyDescent="0.3"/>
  <sheetData>
    <row r="1" spans="1:26" x14ac:dyDescent="0.3">
      <c r="A1" s="4"/>
      <c r="B1" s="4"/>
      <c r="C1" s="4"/>
      <c r="D1" s="4"/>
      <c r="E1" s="4"/>
      <c r="F1" s="4"/>
      <c r="G1" s="4"/>
      <c r="H1" s="4"/>
      <c r="I1" s="4"/>
      <c r="J1" s="4"/>
      <c r="K1" s="4"/>
      <c r="L1" s="4"/>
      <c r="M1" s="4"/>
      <c r="N1" s="4"/>
      <c r="O1" s="4"/>
      <c r="P1" s="4"/>
      <c r="Q1" s="4"/>
      <c r="R1" s="4"/>
      <c r="S1" s="4"/>
      <c r="T1" s="4"/>
      <c r="U1" s="4"/>
      <c r="V1" s="4"/>
      <c r="W1" s="4"/>
      <c r="X1" s="4"/>
      <c r="Y1" s="4"/>
      <c r="Z1" s="4"/>
    </row>
    <row r="2" spans="1:26" x14ac:dyDescent="0.3">
      <c r="A2" s="4"/>
      <c r="B2" s="4"/>
      <c r="C2" s="4"/>
      <c r="D2" s="4"/>
      <c r="E2" s="4"/>
      <c r="F2" s="4"/>
      <c r="G2" s="4"/>
      <c r="H2" s="4"/>
      <c r="I2" s="4"/>
      <c r="J2" s="4"/>
      <c r="K2" s="4"/>
      <c r="L2" s="4"/>
      <c r="M2" s="4"/>
      <c r="N2" s="4"/>
      <c r="O2" s="4"/>
      <c r="P2" s="4"/>
      <c r="Q2" s="4"/>
      <c r="R2" s="4"/>
      <c r="S2" s="4"/>
      <c r="T2" s="4"/>
      <c r="U2" s="4"/>
      <c r="V2" s="4"/>
      <c r="W2" s="4"/>
      <c r="X2" s="4"/>
      <c r="Y2" s="4"/>
      <c r="Z2" s="4"/>
    </row>
    <row r="3" spans="1:26" x14ac:dyDescent="0.3">
      <c r="A3" s="4"/>
      <c r="B3" s="4"/>
      <c r="C3" s="4"/>
      <c r="D3" s="4"/>
      <c r="E3" s="4"/>
      <c r="F3" s="4"/>
      <c r="G3" s="4"/>
      <c r="H3" s="4"/>
      <c r="I3" s="4"/>
      <c r="J3" s="4"/>
      <c r="K3" s="4"/>
      <c r="L3" s="4"/>
      <c r="M3" s="4"/>
      <c r="N3" s="4"/>
      <c r="O3" s="4"/>
      <c r="P3" s="4"/>
      <c r="Q3" s="4"/>
      <c r="R3" s="4"/>
      <c r="S3" s="4"/>
      <c r="T3" s="4"/>
      <c r="U3" s="4"/>
      <c r="V3" s="4"/>
      <c r="W3" s="4"/>
      <c r="X3" s="4"/>
      <c r="Y3" s="4"/>
      <c r="Z3" s="4"/>
    </row>
    <row r="4" spans="1:26" x14ac:dyDescent="0.3">
      <c r="A4" s="4"/>
      <c r="B4" s="4"/>
      <c r="C4" s="4"/>
      <c r="D4" s="4"/>
      <c r="E4" s="4"/>
      <c r="F4" s="4"/>
      <c r="G4" s="4"/>
      <c r="H4" s="4"/>
      <c r="I4" s="4"/>
      <c r="J4" s="4"/>
      <c r="K4" s="4"/>
      <c r="L4" s="4"/>
      <c r="M4" s="4"/>
      <c r="N4" s="4"/>
      <c r="O4" s="4"/>
      <c r="P4" s="4"/>
      <c r="Q4" s="4"/>
      <c r="R4" s="4"/>
      <c r="S4" s="4"/>
      <c r="T4" s="4"/>
      <c r="U4" s="4"/>
      <c r="V4" s="4"/>
      <c r="W4" s="4"/>
      <c r="X4" s="4"/>
      <c r="Y4" s="4"/>
      <c r="Z4" s="4"/>
    </row>
    <row r="5" spans="1:26" x14ac:dyDescent="0.3">
      <c r="A5" s="4"/>
      <c r="B5" s="4"/>
      <c r="C5" s="4"/>
      <c r="D5" s="4"/>
      <c r="E5" s="4"/>
      <c r="F5" s="4"/>
      <c r="G5" s="4"/>
      <c r="H5" s="4"/>
      <c r="I5" s="4"/>
      <c r="J5" s="4"/>
      <c r="K5" s="4"/>
      <c r="L5" s="4"/>
      <c r="M5" s="4"/>
      <c r="N5" s="4"/>
      <c r="O5" s="4"/>
      <c r="P5" s="4"/>
      <c r="Q5" s="4"/>
      <c r="R5" s="4"/>
      <c r="S5" s="4"/>
      <c r="T5" s="4"/>
      <c r="U5" s="4"/>
      <c r="V5" s="4"/>
      <c r="W5" s="4"/>
      <c r="X5" s="4"/>
      <c r="Y5" s="4"/>
      <c r="Z5" s="4"/>
    </row>
    <row r="6" spans="1:26" x14ac:dyDescent="0.3">
      <c r="A6" s="4"/>
      <c r="B6" s="4"/>
      <c r="C6" s="4"/>
      <c r="D6" s="4"/>
      <c r="E6" s="4"/>
      <c r="F6" s="4"/>
      <c r="G6" s="4"/>
      <c r="H6" s="4"/>
      <c r="I6" s="4"/>
      <c r="J6" s="4"/>
      <c r="K6" s="4"/>
      <c r="L6" s="4"/>
      <c r="M6" s="4"/>
      <c r="N6" s="4"/>
      <c r="O6" s="4"/>
      <c r="P6" s="4"/>
      <c r="Q6" s="4"/>
      <c r="R6" s="4"/>
      <c r="S6" s="4"/>
      <c r="T6" s="4"/>
      <c r="U6" s="4"/>
      <c r="V6" s="4"/>
      <c r="W6" s="4"/>
      <c r="X6" s="4"/>
      <c r="Y6" s="4"/>
      <c r="Z6" s="4"/>
    </row>
    <row r="7" spans="1:26" x14ac:dyDescent="0.3">
      <c r="A7" s="4"/>
      <c r="B7" s="4"/>
      <c r="C7" s="4"/>
      <c r="D7" s="4"/>
      <c r="E7" s="4"/>
      <c r="F7" s="4"/>
      <c r="G7" s="4"/>
      <c r="H7" s="4"/>
      <c r="I7" s="4"/>
      <c r="J7" s="4"/>
      <c r="K7" s="4"/>
      <c r="L7" s="4"/>
      <c r="M7" s="4"/>
      <c r="N7" s="4"/>
      <c r="O7" s="4"/>
      <c r="P7" s="4"/>
      <c r="Q7" s="4"/>
      <c r="R7" s="4"/>
      <c r="S7" s="4"/>
      <c r="T7" s="4"/>
      <c r="U7" s="4"/>
      <c r="V7" s="4"/>
      <c r="W7" s="4"/>
      <c r="X7" s="4"/>
      <c r="Y7" s="4"/>
      <c r="Z7" s="4"/>
    </row>
    <row r="8" spans="1:26" x14ac:dyDescent="0.3">
      <c r="A8" s="4"/>
      <c r="B8" s="4"/>
      <c r="C8" s="4"/>
      <c r="D8" s="4"/>
      <c r="E8" s="4"/>
      <c r="F8" s="4"/>
      <c r="G8" s="4"/>
      <c r="H8" s="4"/>
      <c r="I8" s="4"/>
      <c r="J8" s="4"/>
      <c r="K8" s="4"/>
      <c r="L8" s="4"/>
      <c r="M8" s="4"/>
      <c r="N8" s="4"/>
      <c r="O8" s="4"/>
      <c r="P8" s="4"/>
      <c r="Q8" s="4"/>
      <c r="R8" s="4"/>
      <c r="S8" s="4"/>
      <c r="T8" s="4"/>
      <c r="U8" s="4"/>
      <c r="V8" s="4"/>
      <c r="W8" s="4"/>
      <c r="X8" s="4"/>
      <c r="Y8" s="4"/>
      <c r="Z8" s="4"/>
    </row>
    <row r="9" spans="1:26" x14ac:dyDescent="0.3">
      <c r="A9" s="4"/>
      <c r="B9" s="4"/>
      <c r="C9" s="4"/>
      <c r="D9" s="4"/>
      <c r="E9" s="4"/>
      <c r="F9" s="4"/>
      <c r="G9" s="4"/>
      <c r="H9" s="4"/>
      <c r="I9" s="4"/>
      <c r="J9" s="4"/>
      <c r="K9" s="4"/>
      <c r="L9" s="4"/>
      <c r="M9" s="4"/>
      <c r="N9" s="4"/>
      <c r="O9" s="4"/>
      <c r="P9" s="4"/>
      <c r="Q9" s="4"/>
      <c r="R9" s="4"/>
      <c r="S9" s="4"/>
      <c r="T9" s="4"/>
      <c r="U9" s="4"/>
      <c r="V9" s="4"/>
      <c r="W9" s="4"/>
      <c r="X9" s="4"/>
      <c r="Y9" s="4"/>
      <c r="Z9" s="4"/>
    </row>
    <row r="10" spans="1:26" x14ac:dyDescent="0.3">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x14ac:dyDescent="0.3">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x14ac:dyDescent="0.3">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x14ac:dyDescent="0.3">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x14ac:dyDescent="0.3">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x14ac:dyDescent="0.3">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x14ac:dyDescent="0.3">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3">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3">
      <c r="A18" s="4"/>
      <c r="B18" s="4"/>
      <c r="C18" s="4"/>
      <c r="D18" s="4"/>
      <c r="E18" s="4"/>
      <c r="F18" s="4"/>
      <c r="G18" s="4" t="s">
        <v>65</v>
      </c>
      <c r="H18" s="4"/>
      <c r="I18" s="4"/>
      <c r="J18" s="4"/>
      <c r="K18" s="4"/>
      <c r="L18" s="4"/>
      <c r="M18" s="4"/>
      <c r="N18" s="4"/>
      <c r="O18" s="4"/>
      <c r="P18" s="4"/>
      <c r="Q18" s="4"/>
      <c r="R18" s="4"/>
      <c r="S18" s="4"/>
      <c r="T18" s="4"/>
      <c r="U18" s="4"/>
      <c r="V18" s="4"/>
      <c r="W18" s="4"/>
      <c r="X18" s="4"/>
      <c r="Y18" s="4"/>
      <c r="Z18" s="4"/>
    </row>
    <row r="19" spans="1:26" x14ac:dyDescent="0.3">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3">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3">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3">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3">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3">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3">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3">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x14ac:dyDescent="0.3">
      <c r="S27" s="4"/>
      <c r="T27" s="4"/>
      <c r="U27" s="4"/>
      <c r="V27" s="4"/>
      <c r="W27" s="4"/>
      <c r="X27" s="4"/>
      <c r="Y27" s="4"/>
      <c r="Z27" s="4"/>
    </row>
    <row r="28" spans="1:26" x14ac:dyDescent="0.3">
      <c r="S28" s="4"/>
      <c r="T28" s="4"/>
      <c r="U28" s="4"/>
      <c r="V28" s="4"/>
      <c r="W28" s="4"/>
      <c r="X28" s="4"/>
      <c r="Y28" s="4"/>
      <c r="Z28" s="4"/>
    </row>
    <row r="29" spans="1:26" x14ac:dyDescent="0.3">
      <c r="S29" s="4"/>
      <c r="T29" s="4"/>
      <c r="U29" s="4"/>
      <c r="V29" s="4"/>
      <c r="W29" s="4"/>
      <c r="X29" s="4"/>
      <c r="Y29" s="4"/>
      <c r="Z29" s="4"/>
    </row>
    <row r="30" spans="1:26" x14ac:dyDescent="0.3">
      <c r="S30" s="4"/>
      <c r="T30" s="4"/>
      <c r="U30" s="4"/>
      <c r="V30" s="4"/>
      <c r="W30" s="4"/>
      <c r="X30" s="4"/>
      <c r="Y30" s="4"/>
      <c r="Z30" s="4"/>
    </row>
    <row r="31" spans="1:26" x14ac:dyDescent="0.3">
      <c r="S31" s="4"/>
      <c r="T31" s="4"/>
      <c r="U31" s="4"/>
      <c r="V31" s="4"/>
      <c r="W31" s="4"/>
      <c r="X31" s="4"/>
      <c r="Y31" s="4"/>
      <c r="Z31" s="4"/>
    </row>
    <row r="32" spans="1:26" x14ac:dyDescent="0.3">
      <c r="S32" s="4"/>
      <c r="T32" s="4"/>
      <c r="U32" s="4"/>
      <c r="V32" s="4"/>
      <c r="W32" s="4"/>
      <c r="X32" s="4"/>
      <c r="Y32" s="4"/>
      <c r="Z32" s="4"/>
    </row>
    <row r="33" spans="19:26" x14ac:dyDescent="0.3">
      <c r="S33" s="4"/>
      <c r="T33" s="4"/>
      <c r="U33" s="4"/>
      <c r="V33" s="4"/>
      <c r="W33" s="4"/>
      <c r="X33" s="4"/>
      <c r="Y33" s="4"/>
      <c r="Z33" s="4"/>
    </row>
    <row r="34" spans="19:26" x14ac:dyDescent="0.3">
      <c r="S34" s="4"/>
      <c r="T34" s="4"/>
      <c r="U34" s="4"/>
      <c r="V34" s="4"/>
      <c r="W34" s="4"/>
      <c r="X34" s="4"/>
      <c r="Y34" s="4"/>
      <c r="Z34" s="4"/>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48E8E-DBFB-49C6-94C4-D19D1418C2B2}">
  <dimension ref="A1:V44"/>
  <sheetViews>
    <sheetView workbookViewId="0"/>
  </sheetViews>
  <sheetFormatPr defaultRowHeight="14.4" x14ac:dyDescent="0.3"/>
  <sheetData>
    <row r="1" spans="1:22" x14ac:dyDescent="0.3">
      <c r="A1" s="6"/>
      <c r="B1" s="6"/>
      <c r="C1" s="6"/>
      <c r="D1" s="6"/>
      <c r="E1" s="6"/>
      <c r="F1" s="6"/>
      <c r="G1" s="6"/>
      <c r="H1" s="6"/>
      <c r="I1" s="6"/>
      <c r="J1" s="6"/>
      <c r="K1" s="6"/>
      <c r="L1" s="6"/>
      <c r="M1" s="6"/>
      <c r="N1" s="6"/>
      <c r="O1" s="6"/>
      <c r="P1" s="6"/>
      <c r="Q1" s="6"/>
      <c r="R1" s="6"/>
      <c r="S1" s="6"/>
      <c r="T1" s="6"/>
      <c r="U1" s="6"/>
      <c r="V1" s="6"/>
    </row>
    <row r="2" spans="1:22" x14ac:dyDescent="0.3">
      <c r="A2" s="6"/>
      <c r="B2" s="6"/>
      <c r="C2" s="6"/>
      <c r="D2" s="6"/>
      <c r="E2" s="6"/>
      <c r="F2" s="6"/>
      <c r="G2" s="6"/>
      <c r="H2" s="6"/>
      <c r="I2" s="6"/>
      <c r="J2" s="6"/>
      <c r="K2" s="6"/>
      <c r="L2" s="6"/>
      <c r="M2" s="6"/>
      <c r="N2" s="6"/>
      <c r="O2" s="6"/>
      <c r="P2" s="6"/>
      <c r="Q2" s="6"/>
      <c r="R2" s="6"/>
      <c r="S2" s="6"/>
      <c r="T2" s="6"/>
      <c r="U2" s="6"/>
      <c r="V2" s="6"/>
    </row>
    <row r="3" spans="1:22" x14ac:dyDescent="0.3">
      <c r="A3" s="6"/>
      <c r="B3" s="6"/>
      <c r="C3" s="6"/>
      <c r="D3" s="6"/>
      <c r="E3" s="6"/>
      <c r="F3" s="6"/>
      <c r="G3" s="6"/>
      <c r="H3" s="6"/>
      <c r="I3" s="6"/>
      <c r="J3" s="6"/>
      <c r="K3" s="6"/>
      <c r="L3" s="6"/>
      <c r="M3" s="6"/>
      <c r="N3" s="6"/>
      <c r="O3" s="6"/>
      <c r="P3" s="6"/>
      <c r="Q3" s="6"/>
      <c r="R3" s="6"/>
      <c r="S3" s="6"/>
      <c r="T3" s="6"/>
      <c r="U3" s="6"/>
      <c r="V3" s="6"/>
    </row>
    <row r="4" spans="1:22" x14ac:dyDescent="0.3">
      <c r="A4" s="6"/>
      <c r="B4" s="6"/>
      <c r="C4" s="6"/>
      <c r="D4" s="6"/>
      <c r="E4" s="6"/>
      <c r="F4" s="6"/>
      <c r="G4" s="6"/>
      <c r="H4" s="6"/>
      <c r="I4" s="6"/>
      <c r="J4" s="6"/>
      <c r="K4" s="6"/>
      <c r="L4" s="6"/>
      <c r="M4" s="6"/>
      <c r="N4" s="6"/>
      <c r="O4" s="6"/>
      <c r="P4" s="6"/>
      <c r="Q4" s="6"/>
      <c r="R4" s="6"/>
      <c r="S4" s="6"/>
      <c r="T4" s="6"/>
      <c r="U4" s="6"/>
      <c r="V4" s="6"/>
    </row>
    <row r="5" spans="1:22" x14ac:dyDescent="0.3">
      <c r="A5" s="6"/>
      <c r="B5" s="6"/>
      <c r="C5" s="6"/>
      <c r="D5" s="6"/>
      <c r="E5" s="6"/>
      <c r="F5" s="6"/>
      <c r="G5" s="6"/>
      <c r="H5" s="6"/>
      <c r="I5" s="6"/>
      <c r="J5" s="6"/>
      <c r="K5" s="6"/>
      <c r="L5" s="6"/>
      <c r="M5" s="6"/>
      <c r="N5" s="6"/>
      <c r="O5" s="6"/>
      <c r="P5" s="6"/>
      <c r="Q5" s="6"/>
      <c r="R5" s="6"/>
      <c r="S5" s="6"/>
      <c r="T5" s="6"/>
      <c r="U5" s="6"/>
      <c r="V5" s="6"/>
    </row>
    <row r="6" spans="1:22" x14ac:dyDescent="0.3">
      <c r="A6" s="6"/>
      <c r="B6" s="6"/>
      <c r="C6" s="6"/>
      <c r="D6" s="6"/>
      <c r="E6" s="6"/>
      <c r="F6" s="6"/>
      <c r="G6" s="6"/>
      <c r="H6" s="6"/>
      <c r="I6" s="6"/>
      <c r="J6" s="6"/>
      <c r="K6" s="6"/>
      <c r="L6" s="6"/>
      <c r="M6" s="6"/>
      <c r="N6" s="6"/>
      <c r="O6" s="6"/>
      <c r="P6" s="6"/>
      <c r="Q6" s="6"/>
      <c r="R6" s="6"/>
      <c r="S6" s="6"/>
      <c r="T6" s="6"/>
      <c r="U6" s="6"/>
      <c r="V6" s="6"/>
    </row>
    <row r="7" spans="1:22" x14ac:dyDescent="0.3">
      <c r="A7" s="6"/>
      <c r="B7" s="6"/>
      <c r="C7" s="6"/>
      <c r="D7" s="6"/>
      <c r="E7" s="6"/>
      <c r="F7" s="6"/>
      <c r="G7" s="6"/>
      <c r="H7" s="6"/>
      <c r="I7" s="6"/>
      <c r="J7" s="6"/>
      <c r="K7" s="6"/>
      <c r="L7" s="6"/>
      <c r="M7" s="6"/>
      <c r="N7" s="6"/>
      <c r="O7" s="6"/>
      <c r="P7" s="6"/>
      <c r="Q7" s="6"/>
      <c r="R7" s="6"/>
      <c r="S7" s="6"/>
      <c r="T7" s="6"/>
      <c r="U7" s="6"/>
      <c r="V7" s="6"/>
    </row>
    <row r="8" spans="1:22" x14ac:dyDescent="0.3">
      <c r="A8" s="6"/>
      <c r="B8" s="6"/>
      <c r="C8" s="6"/>
      <c r="D8" s="6"/>
      <c r="E8" s="6"/>
      <c r="F8" s="6"/>
      <c r="G8" s="6"/>
      <c r="H8" s="6"/>
      <c r="I8" s="6"/>
      <c r="J8" s="6"/>
      <c r="K8" s="6"/>
      <c r="L8" s="6"/>
      <c r="M8" s="6"/>
      <c r="N8" s="6"/>
      <c r="O8" s="6"/>
      <c r="P8" s="6"/>
      <c r="Q8" s="6"/>
      <c r="R8" s="6"/>
      <c r="S8" s="6"/>
      <c r="T8" s="6"/>
      <c r="U8" s="6"/>
      <c r="V8" s="6"/>
    </row>
    <row r="9" spans="1:22" x14ac:dyDescent="0.3">
      <c r="A9" s="6"/>
      <c r="B9" s="6"/>
      <c r="C9" s="6"/>
      <c r="D9" s="6"/>
      <c r="E9" s="6"/>
      <c r="F9" s="6"/>
      <c r="G9" s="6"/>
      <c r="H9" s="6"/>
      <c r="I9" s="6"/>
      <c r="J9" s="6"/>
      <c r="K9" s="6"/>
      <c r="L9" s="6"/>
      <c r="M9" s="6"/>
      <c r="N9" s="6"/>
      <c r="O9" s="6"/>
      <c r="P9" s="6"/>
      <c r="Q9" s="6"/>
      <c r="R9" s="6"/>
      <c r="S9" s="6"/>
      <c r="T9" s="6"/>
      <c r="U9" s="6"/>
      <c r="V9" s="6"/>
    </row>
    <row r="10" spans="1:22" x14ac:dyDescent="0.3">
      <c r="A10" s="6"/>
      <c r="B10" s="6"/>
      <c r="C10" s="6"/>
      <c r="D10" s="6"/>
      <c r="E10" s="6"/>
      <c r="F10" s="6"/>
      <c r="G10" s="6"/>
      <c r="H10" s="6"/>
      <c r="I10" s="6"/>
      <c r="J10" s="6"/>
      <c r="K10" s="6"/>
      <c r="L10" s="6"/>
      <c r="M10" s="6"/>
      <c r="N10" s="6"/>
      <c r="O10" s="6"/>
      <c r="P10" s="6"/>
      <c r="Q10" s="6"/>
      <c r="R10" s="6"/>
      <c r="S10" s="6"/>
      <c r="T10" s="6"/>
      <c r="U10" s="6"/>
      <c r="V10" s="6"/>
    </row>
    <row r="11" spans="1:22" x14ac:dyDescent="0.3">
      <c r="A11" s="6"/>
      <c r="B11" s="6"/>
      <c r="C11" s="6"/>
      <c r="D11" s="6"/>
      <c r="E11" s="6"/>
      <c r="F11" s="6"/>
      <c r="G11" s="6"/>
      <c r="H11" s="6"/>
      <c r="I11" s="6"/>
      <c r="J11" s="6"/>
      <c r="K11" s="6"/>
      <c r="L11" s="6"/>
      <c r="M11" s="6"/>
      <c r="N11" s="6"/>
      <c r="O11" s="6"/>
      <c r="P11" s="6"/>
      <c r="Q11" s="6"/>
      <c r="R11" s="6"/>
      <c r="S11" s="6"/>
      <c r="T11" s="6"/>
      <c r="U11" s="6"/>
      <c r="V11" s="6"/>
    </row>
    <row r="12" spans="1:22" x14ac:dyDescent="0.3">
      <c r="A12" s="6"/>
      <c r="B12" s="6"/>
      <c r="C12" s="6"/>
      <c r="D12" s="6"/>
      <c r="E12" s="6"/>
      <c r="F12" s="6"/>
      <c r="G12" s="6"/>
      <c r="H12" s="6"/>
      <c r="I12" s="6"/>
      <c r="J12" s="6"/>
      <c r="K12" s="6"/>
      <c r="L12" s="6"/>
      <c r="M12" s="6"/>
      <c r="N12" s="6"/>
      <c r="O12" s="6"/>
      <c r="P12" s="6"/>
      <c r="Q12" s="6"/>
      <c r="R12" s="6"/>
      <c r="S12" s="6"/>
      <c r="T12" s="6"/>
      <c r="U12" s="6"/>
      <c r="V12" s="6"/>
    </row>
    <row r="13" spans="1:22" x14ac:dyDescent="0.3">
      <c r="A13" s="6"/>
      <c r="B13" s="6"/>
      <c r="C13" s="6"/>
      <c r="D13" s="6"/>
      <c r="E13" s="6"/>
      <c r="F13" s="6"/>
      <c r="G13" s="6"/>
      <c r="H13" s="6"/>
      <c r="I13" s="6"/>
      <c r="J13" s="6"/>
      <c r="K13" s="6"/>
      <c r="L13" s="6"/>
      <c r="M13" s="6"/>
      <c r="N13" s="6"/>
      <c r="O13" s="6"/>
      <c r="P13" s="6"/>
      <c r="Q13" s="6"/>
      <c r="R13" s="6"/>
      <c r="S13" s="6"/>
      <c r="T13" s="6"/>
      <c r="U13" s="6"/>
      <c r="V13" s="6"/>
    </row>
    <row r="14" spans="1:22" x14ac:dyDescent="0.3">
      <c r="A14" s="6"/>
      <c r="B14" s="6"/>
      <c r="C14" s="6"/>
      <c r="D14" s="6"/>
      <c r="E14" s="6"/>
      <c r="F14" s="6"/>
      <c r="G14" s="6"/>
      <c r="H14" s="6"/>
      <c r="I14" s="6"/>
      <c r="J14" s="6"/>
      <c r="K14" s="6"/>
      <c r="L14" s="6"/>
      <c r="M14" s="6"/>
      <c r="N14" s="6"/>
      <c r="O14" s="6"/>
      <c r="P14" s="6"/>
      <c r="Q14" s="6"/>
      <c r="R14" s="6"/>
      <c r="S14" s="6"/>
      <c r="T14" s="6"/>
      <c r="U14" s="6"/>
      <c r="V14" s="6"/>
    </row>
    <row r="15" spans="1:22" x14ac:dyDescent="0.3">
      <c r="A15" s="6"/>
      <c r="B15" s="6"/>
      <c r="C15" s="6"/>
      <c r="D15" s="6"/>
      <c r="E15" s="6"/>
      <c r="F15" s="6"/>
      <c r="G15" s="6"/>
      <c r="H15" s="6"/>
      <c r="I15" s="6"/>
      <c r="J15" s="6"/>
      <c r="K15" s="6"/>
      <c r="L15" s="6"/>
      <c r="M15" s="6"/>
      <c r="N15" s="6"/>
      <c r="O15" s="6"/>
      <c r="P15" s="6"/>
      <c r="Q15" s="6"/>
      <c r="R15" s="6"/>
      <c r="S15" s="6"/>
      <c r="T15" s="6"/>
      <c r="U15" s="6"/>
      <c r="V15" s="6"/>
    </row>
    <row r="16" spans="1:22" x14ac:dyDescent="0.3">
      <c r="A16" s="6"/>
      <c r="B16" s="6"/>
      <c r="C16" s="6"/>
      <c r="D16" s="6"/>
      <c r="E16" s="6"/>
      <c r="F16" s="6"/>
      <c r="G16" s="6"/>
      <c r="H16" s="6"/>
      <c r="I16" s="6"/>
      <c r="J16" s="6"/>
      <c r="K16" s="6"/>
      <c r="L16" s="6"/>
      <c r="M16" s="6"/>
      <c r="N16" s="6"/>
      <c r="O16" s="6"/>
      <c r="P16" s="6"/>
      <c r="Q16" s="6"/>
      <c r="R16" s="6"/>
      <c r="S16" s="6"/>
      <c r="T16" s="6"/>
      <c r="U16" s="6"/>
      <c r="V16" s="6"/>
    </row>
    <row r="17" spans="1:22" x14ac:dyDescent="0.3">
      <c r="A17" s="6"/>
      <c r="B17" s="6"/>
      <c r="C17" s="6"/>
      <c r="D17" s="6"/>
      <c r="E17" s="6"/>
      <c r="F17" s="6"/>
      <c r="G17" s="6"/>
      <c r="H17" s="6"/>
      <c r="I17" s="6"/>
      <c r="J17" s="6"/>
      <c r="K17" s="6"/>
      <c r="L17" s="6"/>
      <c r="M17" s="6"/>
      <c r="N17" s="6"/>
      <c r="O17" s="6"/>
      <c r="P17" s="6"/>
      <c r="Q17" s="6"/>
      <c r="R17" s="6"/>
      <c r="S17" s="6"/>
      <c r="T17" s="6"/>
      <c r="U17" s="6"/>
      <c r="V17" s="6"/>
    </row>
    <row r="18" spans="1:22" x14ac:dyDescent="0.3">
      <c r="A18" s="6"/>
      <c r="B18" s="6"/>
      <c r="C18" s="6"/>
      <c r="D18" s="6"/>
      <c r="E18" s="6"/>
      <c r="F18" s="6"/>
      <c r="G18" s="6"/>
      <c r="H18" s="6"/>
      <c r="I18" s="6"/>
      <c r="J18" s="6"/>
      <c r="K18" s="6"/>
      <c r="L18" s="6"/>
      <c r="M18" s="6"/>
      <c r="N18" s="6"/>
      <c r="O18" s="6"/>
      <c r="P18" s="6"/>
      <c r="Q18" s="6"/>
      <c r="R18" s="6"/>
      <c r="S18" s="6"/>
      <c r="T18" s="6"/>
      <c r="U18" s="6"/>
      <c r="V18" s="6"/>
    </row>
    <row r="19" spans="1:22" x14ac:dyDescent="0.3">
      <c r="A19" s="6"/>
      <c r="B19" s="6"/>
      <c r="C19" s="6"/>
      <c r="D19" s="6"/>
      <c r="E19" s="6"/>
      <c r="F19" s="6"/>
      <c r="G19" s="6"/>
      <c r="H19" s="6"/>
      <c r="I19" s="6"/>
      <c r="J19" s="6"/>
      <c r="K19" s="6"/>
      <c r="L19" s="6"/>
      <c r="M19" s="6"/>
      <c r="N19" s="6"/>
      <c r="O19" s="6"/>
      <c r="P19" s="6"/>
      <c r="Q19" s="6"/>
      <c r="R19" s="6"/>
      <c r="S19" s="6"/>
      <c r="T19" s="6"/>
      <c r="U19" s="6"/>
      <c r="V19" s="6"/>
    </row>
    <row r="20" spans="1:22" x14ac:dyDescent="0.3">
      <c r="A20" s="6"/>
      <c r="B20" s="6"/>
      <c r="C20" s="6"/>
      <c r="D20" s="6"/>
      <c r="E20" s="6"/>
      <c r="F20" s="6"/>
      <c r="G20" s="6"/>
      <c r="H20" s="6"/>
      <c r="I20" s="6"/>
      <c r="J20" s="6"/>
      <c r="K20" s="6"/>
      <c r="L20" s="6"/>
      <c r="M20" s="6"/>
      <c r="N20" s="6"/>
      <c r="O20" s="6"/>
      <c r="P20" s="6"/>
      <c r="Q20" s="6"/>
      <c r="R20" s="6"/>
      <c r="S20" s="6"/>
      <c r="T20" s="6"/>
      <c r="U20" s="6"/>
      <c r="V20" s="6"/>
    </row>
    <row r="21" spans="1:22" x14ac:dyDescent="0.3">
      <c r="A21" s="6"/>
      <c r="B21" s="6"/>
      <c r="C21" s="6"/>
      <c r="D21" s="6"/>
      <c r="E21" s="6"/>
      <c r="F21" s="6"/>
      <c r="G21" s="6"/>
      <c r="H21" s="6"/>
      <c r="I21" s="6"/>
      <c r="J21" s="6"/>
      <c r="K21" s="6"/>
      <c r="L21" s="6"/>
      <c r="M21" s="6"/>
      <c r="N21" s="6"/>
      <c r="O21" s="6"/>
      <c r="P21" s="6"/>
      <c r="Q21" s="6"/>
      <c r="R21" s="6"/>
      <c r="S21" s="6"/>
      <c r="T21" s="6"/>
      <c r="U21" s="6"/>
      <c r="V21" s="6"/>
    </row>
    <row r="22" spans="1:22" x14ac:dyDescent="0.3">
      <c r="A22" s="6"/>
      <c r="B22" s="6"/>
      <c r="C22" s="6"/>
      <c r="D22" s="6"/>
      <c r="E22" s="6"/>
      <c r="F22" s="6"/>
      <c r="G22" s="6"/>
      <c r="H22" s="6"/>
      <c r="I22" s="6"/>
      <c r="J22" s="6"/>
      <c r="K22" s="6"/>
      <c r="L22" s="6"/>
      <c r="M22" s="6"/>
      <c r="N22" s="6"/>
      <c r="O22" s="6"/>
      <c r="P22" s="6"/>
      <c r="Q22" s="6"/>
      <c r="R22" s="6"/>
      <c r="S22" s="6"/>
      <c r="T22" s="6"/>
      <c r="U22" s="6"/>
      <c r="V22" s="6"/>
    </row>
    <row r="23" spans="1:22" x14ac:dyDescent="0.3">
      <c r="A23" s="6"/>
      <c r="B23" s="6"/>
      <c r="C23" s="6"/>
      <c r="D23" s="6"/>
      <c r="E23" s="6"/>
      <c r="F23" s="6"/>
      <c r="G23" s="6"/>
      <c r="H23" s="6"/>
      <c r="I23" s="6"/>
      <c r="J23" s="6"/>
      <c r="K23" s="6"/>
      <c r="L23" s="6"/>
      <c r="M23" s="6"/>
      <c r="N23" s="6"/>
      <c r="O23" s="6"/>
      <c r="P23" s="6"/>
      <c r="Q23" s="6"/>
      <c r="R23" s="6"/>
      <c r="S23" s="6"/>
      <c r="T23" s="6"/>
      <c r="U23" s="6"/>
      <c r="V23" s="6"/>
    </row>
    <row r="24" spans="1:22" x14ac:dyDescent="0.3">
      <c r="A24" s="6"/>
      <c r="B24" s="6"/>
      <c r="C24" s="6"/>
      <c r="D24" s="6"/>
      <c r="E24" s="6"/>
      <c r="F24" s="6"/>
      <c r="G24" s="6"/>
      <c r="H24" s="6"/>
      <c r="I24" s="6"/>
      <c r="J24" s="6"/>
      <c r="K24" s="6"/>
      <c r="L24" s="6"/>
      <c r="M24" s="6"/>
      <c r="N24" s="6"/>
      <c r="O24" s="6"/>
      <c r="P24" s="6"/>
      <c r="Q24" s="6"/>
      <c r="R24" s="6"/>
      <c r="S24" s="6"/>
      <c r="T24" s="6"/>
      <c r="U24" s="6"/>
      <c r="V24" s="6"/>
    </row>
    <row r="25" spans="1:22" x14ac:dyDescent="0.3">
      <c r="A25" s="6"/>
      <c r="B25" s="6"/>
      <c r="C25" s="6"/>
      <c r="D25" s="6"/>
      <c r="E25" s="6"/>
      <c r="F25" s="6"/>
      <c r="G25" s="6"/>
      <c r="H25" s="6"/>
      <c r="I25" s="6"/>
      <c r="J25" s="6"/>
      <c r="K25" s="6"/>
      <c r="L25" s="6"/>
      <c r="M25" s="6"/>
      <c r="N25" s="6"/>
      <c r="O25" s="6"/>
      <c r="P25" s="6"/>
      <c r="Q25" s="6"/>
      <c r="R25" s="6"/>
      <c r="S25" s="6"/>
      <c r="T25" s="6"/>
      <c r="U25" s="6"/>
      <c r="V25" s="6"/>
    </row>
    <row r="26" spans="1:22" x14ac:dyDescent="0.3">
      <c r="A26" s="6"/>
      <c r="B26" s="6"/>
      <c r="C26" s="6"/>
      <c r="D26" s="6"/>
      <c r="E26" s="6"/>
      <c r="F26" s="6"/>
      <c r="G26" s="6"/>
      <c r="H26" s="6"/>
      <c r="I26" s="6"/>
      <c r="J26" s="6"/>
      <c r="K26" s="6"/>
      <c r="L26" s="6"/>
      <c r="M26" s="6"/>
      <c r="N26" s="6"/>
      <c r="O26" s="6"/>
      <c r="P26" s="6"/>
      <c r="Q26" s="6"/>
      <c r="R26" s="6"/>
      <c r="S26" s="6"/>
      <c r="T26" s="6"/>
      <c r="U26" s="6"/>
      <c r="V26" s="6"/>
    </row>
    <row r="27" spans="1:22" x14ac:dyDescent="0.3">
      <c r="A27" s="6"/>
      <c r="B27" s="6"/>
      <c r="C27" s="6"/>
      <c r="D27" s="6"/>
      <c r="E27" s="6"/>
      <c r="F27" s="6"/>
      <c r="G27" s="6"/>
      <c r="H27" s="6"/>
      <c r="I27" s="6"/>
      <c r="J27" s="6"/>
      <c r="K27" s="6"/>
      <c r="L27" s="6"/>
      <c r="M27" s="6"/>
      <c r="N27" s="6"/>
      <c r="O27" s="6"/>
      <c r="P27" s="6"/>
      <c r="Q27" s="6"/>
      <c r="R27" s="6"/>
      <c r="S27" s="6"/>
      <c r="T27" s="6"/>
      <c r="U27" s="6"/>
      <c r="V27" s="6"/>
    </row>
    <row r="28" spans="1:22" x14ac:dyDescent="0.3">
      <c r="A28" s="6"/>
      <c r="B28" s="6"/>
      <c r="C28" s="6"/>
      <c r="D28" s="6"/>
      <c r="E28" s="6"/>
      <c r="F28" s="6"/>
      <c r="G28" s="6"/>
      <c r="H28" s="6"/>
      <c r="I28" s="6"/>
      <c r="J28" s="6"/>
      <c r="K28" s="6"/>
      <c r="L28" s="6"/>
      <c r="M28" s="6"/>
      <c r="N28" s="6"/>
      <c r="O28" s="6"/>
      <c r="P28" s="6"/>
      <c r="Q28" s="6"/>
      <c r="R28" s="6"/>
      <c r="S28" s="6"/>
      <c r="T28" s="6"/>
      <c r="U28" s="6"/>
      <c r="V28" s="6"/>
    </row>
    <row r="29" spans="1:22" x14ac:dyDescent="0.3">
      <c r="A29" s="6"/>
      <c r="B29" s="6"/>
      <c r="C29" s="6"/>
      <c r="D29" s="6"/>
      <c r="E29" s="6"/>
      <c r="F29" s="6"/>
      <c r="G29" s="6"/>
      <c r="H29" s="6"/>
      <c r="I29" s="6"/>
      <c r="J29" s="6"/>
      <c r="K29" s="6"/>
      <c r="L29" s="6"/>
      <c r="M29" s="6"/>
      <c r="N29" s="6"/>
      <c r="O29" s="6"/>
      <c r="P29" s="6"/>
      <c r="Q29" s="6"/>
      <c r="R29" s="6"/>
      <c r="S29" s="6"/>
      <c r="T29" s="6"/>
      <c r="U29" s="6"/>
      <c r="V29" s="6"/>
    </row>
    <row r="30" spans="1:22" x14ac:dyDescent="0.3">
      <c r="A30" s="6"/>
      <c r="B30" s="6"/>
      <c r="C30" s="6"/>
      <c r="D30" s="6"/>
      <c r="E30" s="6"/>
      <c r="F30" s="6"/>
      <c r="G30" s="6"/>
      <c r="H30" s="6"/>
      <c r="I30" s="6"/>
      <c r="J30" s="6"/>
      <c r="K30" s="6"/>
      <c r="L30" s="6"/>
      <c r="M30" s="6"/>
      <c r="N30" s="6"/>
      <c r="O30" s="6"/>
      <c r="P30" s="6"/>
      <c r="Q30" s="6"/>
      <c r="R30" s="6"/>
      <c r="S30" s="6"/>
      <c r="T30" s="6"/>
      <c r="U30" s="6"/>
      <c r="V30" s="6"/>
    </row>
    <row r="31" spans="1:22" x14ac:dyDescent="0.3">
      <c r="A31" s="6"/>
      <c r="B31" s="6"/>
      <c r="C31" s="6"/>
      <c r="D31" s="6"/>
      <c r="E31" s="6"/>
      <c r="F31" s="6"/>
      <c r="G31" s="6"/>
      <c r="H31" s="6"/>
      <c r="I31" s="6"/>
      <c r="J31" s="6"/>
      <c r="K31" s="6"/>
      <c r="L31" s="6"/>
      <c r="M31" s="6"/>
      <c r="N31" s="6"/>
      <c r="O31" s="6"/>
      <c r="P31" s="6"/>
      <c r="Q31" s="6"/>
      <c r="R31" s="6"/>
      <c r="S31" s="6"/>
      <c r="T31" s="6"/>
      <c r="U31" s="6"/>
      <c r="V31" s="6"/>
    </row>
    <row r="32" spans="1:22" x14ac:dyDescent="0.3">
      <c r="A32" s="6"/>
      <c r="B32" s="6"/>
      <c r="C32" s="6"/>
      <c r="D32" s="6"/>
      <c r="E32" s="6"/>
      <c r="F32" s="6"/>
      <c r="G32" s="6"/>
      <c r="H32" s="6"/>
      <c r="I32" s="6"/>
      <c r="J32" s="6"/>
      <c r="K32" s="6"/>
      <c r="L32" s="6"/>
      <c r="M32" s="6"/>
      <c r="N32" s="6"/>
      <c r="O32" s="6"/>
      <c r="P32" s="6"/>
      <c r="Q32" s="6"/>
      <c r="R32" s="6"/>
      <c r="S32" s="6"/>
      <c r="T32" s="6"/>
      <c r="U32" s="6"/>
      <c r="V32" s="6"/>
    </row>
    <row r="33" spans="1:22" x14ac:dyDescent="0.3">
      <c r="A33" s="6"/>
      <c r="B33" s="6"/>
      <c r="C33" s="6"/>
      <c r="D33" s="6"/>
      <c r="E33" s="6"/>
      <c r="F33" s="6"/>
      <c r="G33" s="6"/>
      <c r="H33" s="6"/>
      <c r="I33" s="6"/>
      <c r="J33" s="6"/>
      <c r="K33" s="6"/>
      <c r="L33" s="6"/>
      <c r="M33" s="6"/>
      <c r="N33" s="6"/>
      <c r="O33" s="6"/>
      <c r="P33" s="6"/>
      <c r="Q33" s="6"/>
      <c r="R33" s="6"/>
      <c r="S33" s="6"/>
      <c r="T33" s="6"/>
      <c r="U33" s="6"/>
      <c r="V33" s="6"/>
    </row>
    <row r="34" spans="1:22" x14ac:dyDescent="0.3">
      <c r="A34" s="6"/>
      <c r="B34" s="6"/>
      <c r="C34" s="6"/>
      <c r="D34" s="6"/>
      <c r="E34" s="6"/>
      <c r="F34" s="6"/>
      <c r="G34" s="6"/>
      <c r="H34" s="6"/>
      <c r="I34" s="6"/>
      <c r="J34" s="6"/>
      <c r="K34" s="6"/>
      <c r="L34" s="6"/>
      <c r="M34" s="6"/>
      <c r="N34" s="6"/>
      <c r="O34" s="6"/>
      <c r="P34" s="6"/>
      <c r="Q34" s="6"/>
      <c r="R34" s="6"/>
      <c r="S34" s="6"/>
      <c r="T34" s="6"/>
      <c r="U34" s="6"/>
      <c r="V34" s="6"/>
    </row>
    <row r="35" spans="1:22" x14ac:dyDescent="0.3">
      <c r="A35" s="6"/>
      <c r="B35" s="6"/>
      <c r="C35" s="6"/>
      <c r="D35" s="6"/>
      <c r="E35" s="6"/>
      <c r="F35" s="6"/>
      <c r="G35" s="6"/>
      <c r="H35" s="6"/>
      <c r="I35" s="6"/>
      <c r="J35" s="6"/>
      <c r="K35" s="6"/>
      <c r="L35" s="6"/>
      <c r="M35" s="6"/>
      <c r="N35" s="6"/>
      <c r="O35" s="6"/>
      <c r="P35" s="6"/>
      <c r="Q35" s="6"/>
      <c r="R35" s="6"/>
      <c r="S35" s="6"/>
      <c r="T35" s="6"/>
      <c r="U35" s="6"/>
      <c r="V35" s="6"/>
    </row>
    <row r="36" spans="1:22" x14ac:dyDescent="0.3">
      <c r="A36" s="6"/>
      <c r="B36" s="6"/>
      <c r="C36" s="6"/>
      <c r="D36" s="6"/>
      <c r="E36" s="6"/>
      <c r="F36" s="6"/>
      <c r="G36" s="6"/>
      <c r="H36" s="6"/>
      <c r="I36" s="6"/>
      <c r="J36" s="6"/>
      <c r="K36" s="6"/>
      <c r="L36" s="6"/>
      <c r="M36" s="6"/>
      <c r="N36" s="6"/>
      <c r="O36" s="6"/>
      <c r="P36" s="6"/>
      <c r="Q36" s="6"/>
      <c r="R36" s="6"/>
      <c r="S36" s="6"/>
      <c r="T36" s="6"/>
      <c r="U36" s="6"/>
      <c r="V36" s="6"/>
    </row>
    <row r="37" spans="1:22" x14ac:dyDescent="0.3">
      <c r="A37" s="6"/>
      <c r="B37" s="6"/>
      <c r="C37" s="6"/>
      <c r="D37" s="6"/>
      <c r="E37" s="6"/>
      <c r="F37" s="6"/>
      <c r="G37" s="6"/>
      <c r="H37" s="6"/>
      <c r="I37" s="6"/>
      <c r="J37" s="6"/>
      <c r="K37" s="6"/>
      <c r="L37" s="6"/>
      <c r="M37" s="6"/>
      <c r="N37" s="6"/>
      <c r="O37" s="6"/>
      <c r="P37" s="6"/>
      <c r="Q37" s="6"/>
      <c r="R37" s="6"/>
      <c r="S37" s="6"/>
      <c r="T37" s="6"/>
      <c r="U37" s="6"/>
      <c r="V37" s="6"/>
    </row>
    <row r="38" spans="1:22" x14ac:dyDescent="0.3">
      <c r="A38" s="6"/>
      <c r="B38" s="6"/>
      <c r="C38" s="6"/>
      <c r="D38" s="6"/>
      <c r="E38" s="6"/>
      <c r="F38" s="6"/>
      <c r="G38" s="6"/>
      <c r="H38" s="6"/>
      <c r="I38" s="6"/>
      <c r="J38" s="6"/>
      <c r="K38" s="6"/>
      <c r="L38" s="6"/>
      <c r="M38" s="6"/>
      <c r="N38" s="6"/>
      <c r="O38" s="6"/>
      <c r="P38" s="6"/>
      <c r="Q38" s="6"/>
      <c r="R38" s="6"/>
      <c r="S38" s="6"/>
      <c r="T38" s="6"/>
      <c r="U38" s="6"/>
      <c r="V38" s="6"/>
    </row>
    <row r="39" spans="1:22" x14ac:dyDescent="0.3">
      <c r="A39" s="6"/>
      <c r="B39" s="6"/>
      <c r="C39" s="6"/>
      <c r="D39" s="6"/>
      <c r="E39" s="6"/>
      <c r="F39" s="6"/>
      <c r="G39" s="6"/>
      <c r="H39" s="6"/>
      <c r="I39" s="6"/>
      <c r="J39" s="6"/>
      <c r="K39" s="6"/>
      <c r="L39" s="6"/>
      <c r="M39" s="6"/>
      <c r="N39" s="6"/>
      <c r="O39" s="6"/>
      <c r="P39" s="6"/>
      <c r="Q39" s="6"/>
      <c r="R39" s="6"/>
      <c r="S39" s="6"/>
      <c r="T39" s="6"/>
      <c r="U39" s="6"/>
      <c r="V39" s="6"/>
    </row>
    <row r="40" spans="1:22" x14ac:dyDescent="0.3">
      <c r="A40" s="6"/>
      <c r="B40" s="6"/>
      <c r="C40" s="6"/>
      <c r="D40" s="6"/>
      <c r="E40" s="6"/>
      <c r="F40" s="6"/>
      <c r="G40" s="6"/>
      <c r="H40" s="6"/>
      <c r="I40" s="6"/>
      <c r="J40" s="6"/>
      <c r="K40" s="6"/>
      <c r="L40" s="6"/>
      <c r="M40" s="6"/>
      <c r="N40" s="6"/>
      <c r="O40" s="6"/>
      <c r="P40" s="6"/>
      <c r="Q40" s="6"/>
      <c r="R40" s="6"/>
      <c r="S40" s="6"/>
      <c r="T40" s="6"/>
      <c r="U40" s="6"/>
      <c r="V40" s="6"/>
    </row>
    <row r="41" spans="1:22" x14ac:dyDescent="0.3">
      <c r="A41" s="6"/>
      <c r="B41" s="6"/>
      <c r="C41" s="6"/>
      <c r="D41" s="6"/>
      <c r="E41" s="6"/>
      <c r="F41" s="6"/>
      <c r="G41" s="6"/>
      <c r="H41" s="6"/>
      <c r="I41" s="6"/>
      <c r="J41" s="6"/>
      <c r="K41" s="6"/>
      <c r="L41" s="6"/>
      <c r="M41" s="6"/>
      <c r="N41" s="6"/>
      <c r="O41" s="6"/>
      <c r="P41" s="6"/>
      <c r="Q41" s="6"/>
      <c r="R41" s="6"/>
      <c r="S41" s="6"/>
      <c r="T41" s="6"/>
      <c r="U41" s="6"/>
      <c r="V41" s="6"/>
    </row>
    <row r="42" spans="1:22" x14ac:dyDescent="0.3">
      <c r="A42" s="6"/>
      <c r="B42" s="6"/>
      <c r="C42" s="6"/>
      <c r="D42" s="6"/>
      <c r="E42" s="6"/>
      <c r="F42" s="6"/>
      <c r="G42" s="6"/>
      <c r="H42" s="6"/>
      <c r="I42" s="6"/>
      <c r="J42" s="6"/>
      <c r="K42" s="6"/>
      <c r="L42" s="6"/>
      <c r="M42" s="6"/>
      <c r="N42" s="6"/>
      <c r="O42" s="6"/>
      <c r="P42" s="6"/>
      <c r="Q42" s="6"/>
      <c r="R42" s="6"/>
      <c r="S42" s="6"/>
      <c r="T42" s="6"/>
      <c r="U42" s="6"/>
      <c r="V42" s="6"/>
    </row>
    <row r="43" spans="1:22" x14ac:dyDescent="0.3">
      <c r="A43" s="6"/>
      <c r="B43" s="6"/>
      <c r="C43" s="6"/>
      <c r="D43" s="6"/>
      <c r="E43" s="6"/>
      <c r="F43" s="6"/>
      <c r="G43" s="6"/>
      <c r="H43" s="6"/>
      <c r="I43" s="6"/>
      <c r="J43" s="6"/>
      <c r="K43" s="6"/>
      <c r="L43" s="6"/>
      <c r="M43" s="6"/>
      <c r="N43" s="6"/>
      <c r="O43" s="6"/>
      <c r="P43" s="6"/>
      <c r="Q43" s="6"/>
      <c r="R43" s="6"/>
      <c r="S43" s="6"/>
      <c r="T43" s="6"/>
      <c r="U43" s="6"/>
      <c r="V43" s="6"/>
    </row>
    <row r="44" spans="1:22" x14ac:dyDescent="0.3">
      <c r="A44" s="6"/>
      <c r="B44" s="6"/>
      <c r="C44" s="6"/>
      <c r="D44" s="6"/>
      <c r="E44" s="6"/>
      <c r="F44" s="6"/>
      <c r="G44" s="6"/>
      <c r="H44" s="6"/>
      <c r="I44" s="6"/>
      <c r="J44" s="6"/>
      <c r="K44" s="6"/>
      <c r="L44" s="6"/>
      <c r="M44" s="6"/>
      <c r="N44" s="6"/>
      <c r="O44" s="6"/>
      <c r="P44" s="6"/>
      <c r="Q44" s="6"/>
      <c r="R44" s="6"/>
      <c r="S44" s="6"/>
      <c r="T44" s="6"/>
      <c r="U44" s="6"/>
      <c r="V44"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A754F-7642-49E1-9A84-F9A4972EFEDA}">
  <dimension ref="A1:AM33"/>
  <sheetViews>
    <sheetView workbookViewId="0"/>
  </sheetViews>
  <sheetFormatPr defaultRowHeight="14.4" x14ac:dyDescent="0.3"/>
  <sheetData>
    <row r="1" spans="1:39"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row>
    <row r="2" spans="1:39" x14ac:dyDescent="0.3">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spans="1:39" x14ac:dyDescent="0.3">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row>
    <row r="4" spans="1:39"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row>
    <row r="5" spans="1:39" x14ac:dyDescent="0.3">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row>
    <row r="6" spans="1:39" x14ac:dyDescent="0.3">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row>
    <row r="7" spans="1:39" x14ac:dyDescent="0.3">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row>
    <row r="8" spans="1:39" x14ac:dyDescent="0.3">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row>
    <row r="9" spans="1:39"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row>
    <row r="10" spans="1:39" x14ac:dyDescent="0.3">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row>
    <row r="11" spans="1:39"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row>
    <row r="12" spans="1:39" x14ac:dyDescent="0.3">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row>
    <row r="13" spans="1:39"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row>
    <row r="14" spans="1:39" x14ac:dyDescent="0.3">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row>
    <row r="15" spans="1:39"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row>
    <row r="16" spans="1:39"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row>
    <row r="17" spans="1:39" x14ac:dyDescent="0.3">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row>
    <row r="18" spans="1:39"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row>
    <row r="19" spans="1:39"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row>
    <row r="20" spans="1:39" x14ac:dyDescent="0.3">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row>
    <row r="21" spans="1:39" x14ac:dyDescent="0.3">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row>
    <row r="22" spans="1:39"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row>
    <row r="23" spans="1:39" x14ac:dyDescent="0.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row>
    <row r="24" spans="1:39"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row>
    <row r="25" spans="1:39"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row>
    <row r="26" spans="1:39"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row>
    <row r="27" spans="1:39"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row>
    <row r="28" spans="1:39"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row>
    <row r="29" spans="1:39"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row>
    <row r="30" spans="1:39"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row>
    <row r="31" spans="1:39"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row>
    <row r="32" spans="1:39"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row>
    <row r="33" spans="1:27"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16F98-954D-4547-B397-CD6D00319368}">
  <dimension ref="A1:AX42"/>
  <sheetViews>
    <sheetView workbookViewId="0"/>
  </sheetViews>
  <sheetFormatPr defaultRowHeight="14.4" x14ac:dyDescent="0.3"/>
  <cols>
    <col min="1" max="2" width="8.88671875" style="6"/>
  </cols>
  <sheetData>
    <row r="1" spans="1:50" x14ac:dyDescent="0.3">
      <c r="A1" s="7"/>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row>
    <row r="2" spans="1:50" x14ac:dyDescent="0.3">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row>
    <row r="3" spans="1:50" x14ac:dyDescent="0.3">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row>
    <row r="4" spans="1:50" x14ac:dyDescent="0.3">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row>
    <row r="5" spans="1:50" x14ac:dyDescent="0.3">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row>
    <row r="6" spans="1:50" x14ac:dyDescent="0.3">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row>
    <row r="7" spans="1:50" x14ac:dyDescent="0.3">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row>
    <row r="8" spans="1:50" x14ac:dyDescent="0.3">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row>
    <row r="9" spans="1:50" x14ac:dyDescent="0.3">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row>
    <row r="10" spans="1:50" x14ac:dyDescent="0.3">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row>
    <row r="11" spans="1:50" x14ac:dyDescent="0.3">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row>
    <row r="12" spans="1:50" x14ac:dyDescent="0.3">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row>
    <row r="13" spans="1:50" x14ac:dyDescent="0.3">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row>
    <row r="14" spans="1:50" x14ac:dyDescent="0.3">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row>
    <row r="15" spans="1:50" x14ac:dyDescent="0.3">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row>
    <row r="16" spans="1:50" x14ac:dyDescent="0.3">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row>
    <row r="17" spans="3:50" x14ac:dyDescent="0.3">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row>
    <row r="18" spans="3:50" x14ac:dyDescent="0.3">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row>
    <row r="19" spans="3:50" x14ac:dyDescent="0.3">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row>
    <row r="20" spans="3:50" x14ac:dyDescent="0.3">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row>
    <row r="21" spans="3:50" x14ac:dyDescent="0.3">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row>
    <row r="22" spans="3:50" x14ac:dyDescent="0.3">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row>
    <row r="23" spans="3:50" x14ac:dyDescent="0.3">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row>
    <row r="24" spans="3:50" x14ac:dyDescent="0.3">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row>
    <row r="25" spans="3:50" x14ac:dyDescent="0.3">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row>
    <row r="26" spans="3:50" x14ac:dyDescent="0.3">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row>
    <row r="27" spans="3:50" x14ac:dyDescent="0.3">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row>
    <row r="28" spans="3:50" x14ac:dyDescent="0.3">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row>
    <row r="29" spans="3:50" x14ac:dyDescent="0.3">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row>
    <row r="30" spans="3:50" x14ac:dyDescent="0.3">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row>
    <row r="31" spans="3:50" x14ac:dyDescent="0.3">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row>
    <row r="32" spans="3:50" x14ac:dyDescent="0.3">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row>
    <row r="33" spans="3:50" x14ac:dyDescent="0.3">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row>
    <row r="34" spans="3:50" x14ac:dyDescent="0.3">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row>
    <row r="35" spans="3:50" x14ac:dyDescent="0.3">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row>
    <row r="36" spans="3:50" x14ac:dyDescent="0.3">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row>
    <row r="37" spans="3:50" x14ac:dyDescent="0.3">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row>
    <row r="38" spans="3:50" x14ac:dyDescent="0.3">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row>
    <row r="39" spans="3:50" x14ac:dyDescent="0.3">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row>
    <row r="40" spans="3:50" x14ac:dyDescent="0.3">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row>
    <row r="41" spans="3:50" x14ac:dyDescent="0.3">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row>
    <row r="42" spans="3:50" x14ac:dyDescent="0.3">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6A09E-C46A-430A-B658-73D6F04AA49F}">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FF168D9E-9109-4223-8A56-BE5E63703E42}">
  <ds:schemaRefs>
    <ds:schemaRef ds:uri="http://schemas.microsoft.com/DataMashup"/>
  </ds:schemaRefs>
</ds:datastoreItem>
</file>

<file path=customXml/itemProps2.xml><?xml version="1.0" encoding="utf-8"?>
<ds:datastoreItem xmlns:ds="http://schemas.openxmlformats.org/officeDocument/2006/customXml" ds:itemID="{633F808D-4D45-4B05-9A74-AD9A15D81317}">
  <ds:schemaRefs/>
</ds:datastoreItem>
</file>

<file path=customXml/itemProps3.xml><?xml version="1.0" encoding="utf-8"?>
<ds:datastoreItem xmlns:ds="http://schemas.openxmlformats.org/officeDocument/2006/customXml" ds:itemID="{8EBE1E45-5160-4625-BAC2-58C21BDAF134}">
  <ds:schemaRefs/>
</ds:datastoreItem>
</file>

<file path=customXml/itemProps4.xml><?xml version="1.0" encoding="utf-8"?>
<ds:datastoreItem xmlns:ds="http://schemas.openxmlformats.org/officeDocument/2006/customXml" ds:itemID="{8DD82305-B785-4BA3-9A6E-B36D3CEE1610}">
  <ds:schemaRefs/>
</ds:datastoreItem>
</file>

<file path=customXml/itemProps5.xml><?xml version="1.0" encoding="utf-8"?>
<ds:datastoreItem xmlns:ds="http://schemas.openxmlformats.org/officeDocument/2006/customXml" ds:itemID="{57C387E3-ACC2-4E7F-B3F1-211517EAA4F3}">
  <ds:schemaRefs/>
</ds:datastoreItem>
</file>

<file path=customXml/itemProps6.xml><?xml version="1.0" encoding="utf-8"?>
<ds:datastoreItem xmlns:ds="http://schemas.openxmlformats.org/officeDocument/2006/customXml" ds:itemID="{3F077370-D029-4C2E-A494-413247FC25A4}">
  <ds:schemaRefs/>
</ds:datastoreItem>
</file>

<file path=customXml/itemProps7.xml><?xml version="1.0" encoding="utf-8"?>
<ds:datastoreItem xmlns:ds="http://schemas.openxmlformats.org/officeDocument/2006/customXml" ds:itemID="{0FF062BA-9FF0-45BB-A7F0-E9E3E2C7C7DA}">
  <ds:schemaRefs/>
</ds:datastoreItem>
</file>

<file path=customXml/itemProps8.xml><?xml version="1.0" encoding="utf-8"?>
<ds:datastoreItem xmlns:ds="http://schemas.openxmlformats.org/officeDocument/2006/customXml" ds:itemID="{17B5356E-22B3-4CDC-9E28-AB4B2E9F6949}">
  <ds:schemaRefs/>
</ds:datastoreItem>
</file>

<file path=customXml/itemProps9.xml><?xml version="1.0" encoding="utf-8"?>
<ds:datastoreItem xmlns:ds="http://schemas.openxmlformats.org/officeDocument/2006/customXml" ds:itemID="{CA0498E7-AC3E-42C4-8392-8EDC180F94B9}">
  <ds:schemaRefs/>
</ds:datastoreItem>
</file>

<file path=customXml/itemProps10.xml><?xml version="1.0" encoding="utf-8"?>
<ds:datastoreItem xmlns:ds="http://schemas.openxmlformats.org/officeDocument/2006/customXml" ds:itemID="{EDB4A666-643D-4F59-93DD-17907C7E467C}">
  <ds:schemaRefs/>
</ds:datastoreItem>
</file>

<file path=customXml/itemProps11.xml><?xml version="1.0" encoding="utf-8"?>
<ds:datastoreItem xmlns:ds="http://schemas.openxmlformats.org/officeDocument/2006/customXml" ds:itemID="{A9A9EBF9-0802-46E8-B695-863F6713D7BC}">
  <ds:schemaRefs/>
</ds:datastoreItem>
</file>

<file path=customXml/itemProps12.xml><?xml version="1.0" encoding="utf-8"?>
<ds:datastoreItem xmlns:ds="http://schemas.openxmlformats.org/officeDocument/2006/customXml" ds:itemID="{99929E4C-BA4B-4DE5-B4BF-C08D682ACF43}">
  <ds:schemaRefs/>
</ds:datastoreItem>
</file>

<file path=customXml/itemProps13.xml><?xml version="1.0" encoding="utf-8"?>
<ds:datastoreItem xmlns:ds="http://schemas.openxmlformats.org/officeDocument/2006/customXml" ds:itemID="{95412C31-F9CF-498D-A5F8-8348C0B6A192}">
  <ds:schemaRefs/>
</ds:datastoreItem>
</file>

<file path=customXml/itemProps14.xml><?xml version="1.0" encoding="utf-8"?>
<ds:datastoreItem xmlns:ds="http://schemas.openxmlformats.org/officeDocument/2006/customXml" ds:itemID="{E9E220AB-8E75-47B7-A3F7-922987278086}">
  <ds:schemaRefs/>
</ds:datastoreItem>
</file>

<file path=customXml/itemProps15.xml><?xml version="1.0" encoding="utf-8"?>
<ds:datastoreItem xmlns:ds="http://schemas.openxmlformats.org/officeDocument/2006/customXml" ds:itemID="{0260D113-843E-4AC2-99A1-9AD58660EAC2}">
  <ds:schemaRefs/>
</ds:datastoreItem>
</file>

<file path=customXml/itemProps16.xml><?xml version="1.0" encoding="utf-8"?>
<ds:datastoreItem xmlns:ds="http://schemas.openxmlformats.org/officeDocument/2006/customXml" ds:itemID="{1C662A32-5451-46B1-B92D-2577FC6681F9}">
  <ds:schemaRefs/>
</ds:datastoreItem>
</file>

<file path=customXml/itemProps17.xml><?xml version="1.0" encoding="utf-8"?>
<ds:datastoreItem xmlns:ds="http://schemas.openxmlformats.org/officeDocument/2006/customXml" ds:itemID="{E4E64E50-1E5A-4E6D-8BA4-49BDBA9ABF6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Report</vt:lpstr>
      <vt:lpstr>Dashboard</vt:lpstr>
      <vt:lpstr>Satisfaction score daily Trend</vt:lpstr>
      <vt:lpstr>Average wait time daily trend</vt:lpstr>
      <vt:lpstr>Daily ER No of Patient</vt:lpstr>
      <vt:lpstr>Sheet15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satyam shukla</dc:creator>
  <cp:lastModifiedBy>satyam shukla</cp:lastModifiedBy>
  <dcterms:created xsi:type="dcterms:W3CDTF">2026-10-10T08:25:13Z</dcterms:created>
  <dcterms:modified xsi:type="dcterms:W3CDTF">2026-10-10T18:58:05Z</dcterms:modified>
</cp:coreProperties>
</file>